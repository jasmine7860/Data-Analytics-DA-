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C812F0E6-ECF2-4C4A-B769-1812B9C3C08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Whole Dataset" sheetId="2" r:id="rId1"/>
    <sheet name="Sum Function" sheetId="3" r:id="rId2"/>
    <sheet name="Min Function" sheetId="4" r:id="rId3"/>
    <sheet name="Max Function" sheetId="6" r:id="rId4"/>
    <sheet name="Average Function" sheetId="5" r:id="rId5"/>
    <sheet name="CountIF" sheetId="7" r:id="rId6"/>
    <sheet name="SumIF" sheetId="8" r:id="rId7"/>
    <sheet name="Count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9" l="1"/>
  <c r="D37" i="8"/>
  <c r="G44" i="2"/>
  <c r="D37" i="7"/>
  <c r="G45" i="2"/>
  <c r="D37" i="4"/>
  <c r="D37" i="6"/>
  <c r="D38" i="5"/>
  <c r="G41" i="2"/>
  <c r="D37" i="3"/>
  <c r="G46" i="2"/>
  <c r="G43" i="2"/>
  <c r="G42" i="2"/>
  <c r="G40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2" i="2"/>
</calcChain>
</file>

<file path=xl/sharedStrings.xml><?xml version="1.0" encoding="utf-8"?>
<sst xmlns="http://schemas.openxmlformats.org/spreadsheetml/2006/main" count="1147" uniqueCount="111">
  <si>
    <t>Product ID</t>
  </si>
  <si>
    <t>Day</t>
  </si>
  <si>
    <t>Month</t>
  </si>
  <si>
    <t>Country</t>
  </si>
  <si>
    <t>Product Name</t>
  </si>
  <si>
    <t>Brand Name</t>
  </si>
  <si>
    <t>Price ($)</t>
  </si>
  <si>
    <t>Prise Range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</si>
  <si>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</si>
  <si>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</si>
  <si>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</si>
  <si>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</si>
  <si>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</si>
  <si>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</si>
  <si>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</si>
  <si>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</si>
  <si>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</si>
  <si>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</si>
  <si>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</si>
  <si>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</si>
  <si>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</si>
  <si>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</si>
  <si>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</si>
  <si>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</si>
  <si>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</si>
  <si>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</si>
  <si>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</si>
  <si>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</si>
  <si>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</si>
  <si>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</si>
  <si>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</si>
  <si>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</si>
  <si>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</si>
  <si>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</si>
  <si>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</si>
  <si>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</si>
  <si>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</si>
  <si>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</si>
  <si>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</si>
  <si>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</si>
  <si>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</si>
  <si>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</si>
  <si>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</si>
  <si>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</si>
  <si>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</si>
  <si>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</si>
  <si>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</si>
  <si>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</si>
  <si>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</si>
  <si>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</si>
  <si>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</si>
  <si>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</si>
  <si>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</si>
  <si>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</si>
  <si>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</si>
  <si>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</si>
  <si>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</si>
  <si>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</si>
  <si>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</si>
  <si>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</si>
  <si>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</si>
  <si>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</si>
  <si>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</si>
  <si>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</si>
  <si>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</si>
  <si>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</si>
  <si>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</si>
  <si>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</si>
  <si>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</si>
  <si>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</si>
  <si>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</si>
  <si>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</si>
  <si>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</si>
  <si>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</si>
  <si>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</si>
  <si>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</si>
  <si>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</si>
  <si>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</si>
  <si>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</si>
  <si>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</si>
  <si>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</si>
  <si>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</si>
  <si>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</si>
  <si>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</si>
  <si>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</si>
  <si>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</si>
  <si>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</si>
  <si>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</si>
  <si>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</si>
  <si>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</si>
  <si>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</si>
  <si>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</si>
  <si>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</si>
  <si>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</si>
  <si>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</si>
  <si>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</si>
  <si>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</si>
  <si>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</si>
  <si>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Average</t>
  </si>
  <si>
    <t>Minimum</t>
  </si>
  <si>
    <t>Maximum</t>
  </si>
  <si>
    <t>Sum IF</t>
  </si>
  <si>
    <t>Count IF</t>
  </si>
  <si>
    <t xml:space="preserve">Count </t>
  </si>
  <si>
    <t>Total Sum Value</t>
  </si>
  <si>
    <t>Min Value</t>
  </si>
  <si>
    <t>Max Value</t>
  </si>
  <si>
    <t>Total Average</t>
  </si>
  <si>
    <t>COUNTIF Value</t>
  </si>
  <si>
    <t>SUMIF Value</t>
  </si>
  <si>
    <t>Count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</si>
</sst>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/>
    <xf numFmtId="0" fontId="2" fillId="3" borderId="0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3" fillId="0" borderId="0" xfId="0" applyFont="1"/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1">
    <cellStyle name="Normal" xfId="0" builtinId="0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2BD298-5C55-4310-908A-A8034F2F585C}" name="Table1" displayName="Table1" ref="A1:J35" totalsRowShown="0" headerRowDxfId="60" dataDxfId="59">
  <autoFilter ref="A1:J35" xr:uid="{BB2BD298-5C55-4310-908A-A8034F2F58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D2735CC1-A64E-49DB-A229-359B089E1A79}" name="Product ID" dataDxfId="58"/>
    <tableColumn id="2" xr3:uid="{6028E68B-0815-45B0-BA4E-961834286E53}" name="Day" dataDxfId="57">
      <calculatedColumnFormula>LEFT(A2,2)</calculatedColumnFormula>
    </tableColumn>
    <tableColumn id="3" xr3:uid="{6DFFC090-6F8A-4CF3-94ED-914938A555A3}" name="Month" dataDxfId="56">
      <calculatedColumnFormula>MID(A2,4,3)</calculatedColumnFormula>
    </tableColumn>
    <tableColumn id="4" xr3:uid="{5EEDE0FC-409A-4F0D-9AAE-0F771A14D17F}" name="Country" dataDxfId="55">
      <calculatedColumnFormula>RIGHT(A2,2)</calculatedColumnFormula>
    </tableColumn>
    <tableColumn id="5" xr3:uid="{9A2D9045-B743-4EF7-8E83-605593410448}" name="Product Name" dataDxfId="54"/>
    <tableColumn id="6" xr3:uid="{A5DAC641-AB10-4258-8AD6-8B52C9210179}" name="Brand Name" dataDxfId="53"/>
    <tableColumn id="7" xr3:uid="{6CD1B185-5B22-4A3B-B3DA-F8BDD8F55321}" name="Price ($)" dataDxfId="52"/>
    <tableColumn id="8" xr3:uid="{CB1BA580-1F3D-456E-94A1-E6629A1B2E9B}" name="Prise Range ($)" dataDxfId="51">
      <calculatedColumnFormula>IF(G2&gt;=500,"High Price","Standard Price")</calculatedColumnFormula>
    </tableColumn>
    <tableColumn id="9" xr3:uid="{2012B78E-638E-4015-843A-489723AD4D23}" name="Quantity" dataDxfId="50"/>
    <tableColumn id="10" xr3:uid="{44BF2DCB-ED9A-49F4-A419-301FC09A313D}" name="Category" dataDxfId="49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3109F39-1ECC-4439-BF97-66009494E990}" name="Table8" displayName="Table8" ref="A1:E35" totalsRowShown="0" headerRowDxfId="48" dataDxfId="47">
  <autoFilter ref="A1:E35" xr:uid="{D3109F39-1ECC-4439-BF97-66009494E99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3EE1051-6E75-42DA-8556-DF7E36EDF9B2}" name="Product ID" dataDxfId="46"/>
    <tableColumn id="2" xr3:uid="{63987C09-60EB-493A-8D60-06759FD62E6D}" name="Product Name" dataDxfId="45"/>
    <tableColumn id="3" xr3:uid="{F3EBD076-251B-4FEB-8A0E-39CD6BE674F3}" name="Brand Name" dataDxfId="44"/>
    <tableColumn id="4" xr3:uid="{AB7DBB67-8940-4029-8AD1-B2194FE819BF}" name="Price ($)" dataDxfId="43"/>
    <tableColumn id="5" xr3:uid="{838385EC-0E2B-472F-9DE6-C7DE77B761E6}" name="Category" dataDxfId="42"/>
  </tableColumns>
  <tableStyleInfo name="TableStyleMedium2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880B023-380C-40E0-9507-0351288A4C7B}" name="Table7" displayName="Table7" ref="A1:E35" totalsRowShown="0" headerRowDxfId="41" dataDxfId="40">
  <autoFilter ref="A1:E35" xr:uid="{4880B023-380C-40E0-9507-0351288A4C7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6B8AF33-8347-4885-9763-A3F396446027}" name="Product ID" dataDxfId="39"/>
    <tableColumn id="2" xr3:uid="{8F9EAA5B-5696-4BCA-9755-430ACB2ACD7C}" name="Product Name" dataDxfId="38"/>
    <tableColumn id="3" xr3:uid="{D95D98BC-A89C-4B8E-8186-A7D41E06A6EE}" name="Brand Name" dataDxfId="37"/>
    <tableColumn id="4" xr3:uid="{2FD35BD3-AC01-4B05-BB3C-5A27BD3063BD}" name="Price ($)" dataDxfId="36"/>
    <tableColumn id="5" xr3:uid="{A7565570-982B-4BB3-935C-C8BC94597460}" name="Category" dataDxfId="35"/>
  </tableColumns>
  <tableStyleInfo name="TableStyleMedium2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7FA84D-9D8D-42E6-9BF7-E537D7A1CCBE}" name="Table6" displayName="Table6" ref="A1:E35" totalsRowShown="0" headerRowDxfId="34" dataDxfId="33">
  <autoFilter ref="A1:E35" xr:uid="{8C7FA84D-9D8D-42E6-9BF7-E537D7A1CCB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5368C090-0808-46FF-9261-11DA94BCE249}" name="Product ID" dataDxfId="32"/>
    <tableColumn id="2" xr3:uid="{FE6DEFF5-5AA3-465E-85DB-765AD9415537}" name="Product Name" dataDxfId="31"/>
    <tableColumn id="3" xr3:uid="{79A7B511-A509-4ABE-AB7A-B9DD941F6F7D}" name="Brand Name" dataDxfId="30"/>
    <tableColumn id="4" xr3:uid="{1B94B80B-1ED3-48C6-BABE-52A3F4EF28D9}" name="Price ($)" dataDxfId="29"/>
    <tableColumn id="5" xr3:uid="{7547388F-608E-4CFC-BDE4-52A102609A8B}" name="Category" dataDxfId="28"/>
  </tableColumns>
  <tableStyleInfo name="TableStyleMedium2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3414F3-E84B-4E9D-AD52-F641C8AC4B9F}" name="Table5" displayName="Table5" ref="A1:E35" totalsRowShown="0" headerRowDxfId="27" dataDxfId="26">
  <autoFilter ref="A1:E35" xr:uid="{AE3414F3-E84B-4E9D-AD52-F641C8AC4B9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A9C90DA-1CC9-4A32-944C-FC5D98C98312}" name="Product ID" dataDxfId="25"/>
    <tableColumn id="2" xr3:uid="{0773971A-10F5-4BD8-9069-C9218CC8A3ED}" name="Product Name" dataDxfId="24"/>
    <tableColumn id="3" xr3:uid="{0F7B1397-BAF5-4695-9B3A-E98E0C26580F}" name="Brand Name" dataDxfId="23"/>
    <tableColumn id="4" xr3:uid="{6571E86C-E7A3-4D88-BF54-A9B35B128C7D}" name="Price ($)" dataDxfId="22"/>
    <tableColumn id="5" xr3:uid="{63443789-961E-4D00-BF0A-1E5841DD00DC}" name="Category" dataDxfId="21"/>
  </tableColumns>
  <tableStyleInfo name="TableStyleMedium2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644469-C18F-47B9-9DE5-4C149C3848AA}" name="Table4" displayName="Table4" ref="A1:E35" totalsRowShown="0" headerRowDxfId="20" dataDxfId="19">
  <autoFilter ref="A1:E35" xr:uid="{C6644469-C18F-47B9-9DE5-4C149C3848A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664D302-0E49-4226-950E-7B7699805BF2}" name="Product ID" dataDxfId="18"/>
    <tableColumn id="2" xr3:uid="{2A65C71D-94D2-454C-96C7-D62FEFFD665C}" name="Product Name" dataDxfId="17"/>
    <tableColumn id="3" xr3:uid="{2AC045DD-B49D-40E5-A94B-10F4D87A93B7}" name="Brand Name" dataDxfId="16"/>
    <tableColumn id="4" xr3:uid="{53C59D75-0301-40D4-86FB-ACF8C4E261E8}" name="Price ($)" dataDxfId="15"/>
    <tableColumn id="5" xr3:uid="{BE96CBCA-A5BE-4F73-B20E-B3B40E79A03D}" name="Category" dataDxfId="14"/>
  </tableColumns>
  <tableStyleInfo name="TableStyleMedium2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0CD227-941F-40EE-A71F-BFDA7A380AD9}" name="Table3" displayName="Table3" ref="A1:E35" totalsRowShown="0" headerRowDxfId="13" dataDxfId="12">
  <autoFilter ref="A1:E35" xr:uid="{400CD227-941F-40EE-A71F-BFDA7A380AD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F16AAF0-B506-49A4-BD9D-98415D2E2DDD}" name="Product ID" dataDxfId="11"/>
    <tableColumn id="2" xr3:uid="{65D3BEA0-C358-4732-995B-9F5393182E97}" name="Product Name" dataDxfId="10"/>
    <tableColumn id="3" xr3:uid="{FAE0B7A9-B3F2-4DF5-A75C-A671A667BE7D}" name="Brand Name" dataDxfId="9"/>
    <tableColumn id="4" xr3:uid="{2E34F1F8-D66A-4449-BB50-ABDE7DDE7882}" name="Price ($)" dataDxfId="8"/>
    <tableColumn id="5" xr3:uid="{D5E77C9A-1171-45C6-8744-B4DCADF6F414}" name="Category" dataDxfId="7"/>
  </tableColumns>
  <tableStyleInfo name="TableStyleMedium2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B5C949-D931-4E7D-B2AB-97E22EC5D0A6}" name="Table2" displayName="Table2" ref="A1:E35" totalsRowShown="0" headerRowDxfId="6" dataDxfId="5">
  <autoFilter ref="A1:E35" xr:uid="{3DB5C949-D931-4E7D-B2AB-97E22EC5D0A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B689801-D7D8-4F38-96B1-C91EA6EA0B0A}" name="Product ID" dataDxfId="4"/>
    <tableColumn id="2" xr3:uid="{2714BF0E-1703-4530-A464-116307332497}" name="Product Name" dataDxfId="3"/>
    <tableColumn id="3" xr3:uid="{5FCEB1D3-034A-4359-8DFB-6624B102439F}" name="Brand Name" dataDxfId="2"/>
    <tableColumn id="4" xr3:uid="{79E81E8B-5144-460B-AE8C-6255A0CC893E}" name="Price ($)" dataDxfId="1"/>
    <tableColumn id="5" xr3:uid="{80BA3361-10CA-4CAB-9A40-CFBA14DAA908}" name="Category" dataDxfId="0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95F4D-BBF8-4F43-9BB2-015DDD9004B3}">
  <dimension ref="A1:J49"/>
  <sheetViews>
    <sheetView tabSelected="1" workbookViewId="0">
      <selection activeCell="H47" sqref="H47"/>
    </sheetView>
  </sheetViews>
  <sheetFormatPr defaultRowHeight="15"/>
  <cols>
    <col min="1" max="1" width="12.5703125" bestFit="1" customWidth="1"/>
    <col min="2" max="4" width="10.85546875" customWidth="1"/>
    <col min="5" max="5" width="15.7109375" bestFit="1" customWidth="1"/>
    <col min="6" max="6" width="14.140625" bestFit="1" customWidth="1"/>
    <col min="7" max="7" width="10.42578125" bestFit="1" customWidth="1"/>
    <col min="8" max="8" width="16.7109375" bestFit="1" customWidth="1"/>
    <col min="9" max="9" width="10.7109375" bestFit="1" customWidth="1"/>
    <col min="10" max="10" width="11.140625" bestFit="1" customWidth="1"/>
  </cols>
  <sheetData>
    <row r="1" spans="1:1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>
      <c r="A2" s="6" t="s">
        <v>10</v>
      </c>
      <c r="B2" s="6" t="str">
        <f>LEFT(A2,2)</f>
        <v>28</v>
      </c>
      <c r="C2" s="6" t="str">
        <f>MID(A2,4,3)</f>
        <v>JAN</v>
      </c>
      <c r="D2" s="6" t="str">
        <f>RIGHT(A2,2)</f>
        <v>US</v>
      </c>
      <c r="E2" s="6" t="s">
        <v>11</v>
      </c>
      <c r="F2" s="6" t="s">
        <v>12</v>
      </c>
      <c r="G2" s="6">
        <v>1000</v>
      </c>
      <c r="H2" s="6" t="str">
        <f>IF(G2&gt;=500,"High Price","Standard Price")</f>
        <v>High Price</v>
      </c>
      <c r="I2" s="6">
        <v>30</v>
      </c>
      <c r="J2" s="6" t="s">
        <v>13</v>
      </c>
    </row>
    <row r="3" spans="1:10">
      <c r="A3" s="6" t="s">
        <v>14</v>
      </c>
      <c r="B3" s="6" t="str">
        <f t="shared" ref="B3:B35" si="0">LEFT(A3,2)</f>
        <v>15</v>
      </c>
      <c r="C3" s="6" t="str">
        <f t="shared" ref="C3:C35" si="1">MID(A3,4,3)</f>
        <v>FEB</v>
      </c>
      <c r="D3" s="6" t="str">
        <f t="shared" ref="D3:D35" si="2">RIGHT(A3,2)</f>
        <v>US</v>
      </c>
      <c r="E3" s="6" t="s">
        <v>15</v>
      </c>
      <c r="F3" s="6" t="s">
        <v>16</v>
      </c>
      <c r="G3" s="6">
        <v>80</v>
      </c>
      <c r="H3" s="6" t="str">
        <f t="shared" ref="H3:H35" si="3">IF(G3&gt;=500,"High Price","Standard Price")</f>
        <v>Standard Price</v>
      </c>
      <c r="I3" s="6">
        <v>15</v>
      </c>
      <c r="J3" s="6" t="s">
        <v>17</v>
      </c>
    </row>
    <row r="4" spans="1:10">
      <c r="A4" s="6" t="s">
        <v>18</v>
      </c>
      <c r="B4" s="6" t="str">
        <f t="shared" si="0"/>
        <v>03</v>
      </c>
      <c r="C4" s="6" t="str">
        <f t="shared" si="1"/>
        <v>MAR</v>
      </c>
      <c r="D4" s="6" t="str">
        <f t="shared" si="2"/>
        <v>US</v>
      </c>
      <c r="E4" s="6" t="s">
        <v>19</v>
      </c>
      <c r="F4" s="6" t="s">
        <v>20</v>
      </c>
      <c r="G4" s="6">
        <v>130</v>
      </c>
      <c r="H4" s="6" t="str">
        <f t="shared" si="3"/>
        <v>Standard Price</v>
      </c>
      <c r="I4" s="6">
        <v>40</v>
      </c>
      <c r="J4" s="6" t="s">
        <v>21</v>
      </c>
    </row>
    <row r="5" spans="1:10">
      <c r="A5" s="6" t="s">
        <v>22</v>
      </c>
      <c r="B5" s="6" t="str">
        <f t="shared" si="0"/>
        <v>11</v>
      </c>
      <c r="C5" s="6" t="str">
        <f t="shared" si="1"/>
        <v>APR</v>
      </c>
      <c r="D5" s="6" t="str">
        <f t="shared" si="2"/>
        <v>US</v>
      </c>
      <c r="E5" s="6" t="s">
        <v>23</v>
      </c>
      <c r="F5" s="6" t="s">
        <v>24</v>
      </c>
      <c r="G5" s="6">
        <v>900</v>
      </c>
      <c r="H5" s="6" t="str">
        <f t="shared" si="3"/>
        <v>High Price</v>
      </c>
      <c r="I5" s="6">
        <v>25</v>
      </c>
      <c r="J5" s="6" t="s">
        <v>13</v>
      </c>
    </row>
    <row r="6" spans="1:10">
      <c r="A6" s="6" t="s">
        <v>25</v>
      </c>
      <c r="B6" s="6" t="str">
        <f t="shared" si="0"/>
        <v>22</v>
      </c>
      <c r="C6" s="6" t="str">
        <f t="shared" si="1"/>
        <v>MAY</v>
      </c>
      <c r="D6" s="6" t="str">
        <f t="shared" si="2"/>
        <v>US</v>
      </c>
      <c r="E6" s="6" t="s">
        <v>26</v>
      </c>
      <c r="F6" s="6" t="s">
        <v>27</v>
      </c>
      <c r="G6" s="6">
        <v>70</v>
      </c>
      <c r="H6" s="6" t="str">
        <f t="shared" si="3"/>
        <v>Standard Price</v>
      </c>
      <c r="I6" s="6">
        <v>20</v>
      </c>
      <c r="J6" s="6" t="s">
        <v>28</v>
      </c>
    </row>
    <row r="7" spans="1:10">
      <c r="A7" s="6" t="s">
        <v>29</v>
      </c>
      <c r="B7" s="6" t="str">
        <f t="shared" si="0"/>
        <v>07</v>
      </c>
      <c r="C7" s="6" t="str">
        <f t="shared" si="1"/>
        <v>JUN</v>
      </c>
      <c r="D7" s="6" t="str">
        <f t="shared" si="2"/>
        <v>UK</v>
      </c>
      <c r="E7" s="6" t="s">
        <v>30</v>
      </c>
      <c r="F7" s="6" t="s">
        <v>31</v>
      </c>
      <c r="G7" s="6">
        <v>200</v>
      </c>
      <c r="H7" s="6" t="str">
        <f t="shared" si="3"/>
        <v>Standard Price</v>
      </c>
      <c r="I7" s="6">
        <v>45</v>
      </c>
      <c r="J7" s="6" t="s">
        <v>13</v>
      </c>
    </row>
    <row r="8" spans="1:10">
      <c r="A8" s="6" t="s">
        <v>32</v>
      </c>
      <c r="B8" s="6" t="str">
        <f t="shared" si="0"/>
        <v>19</v>
      </c>
      <c r="C8" s="6" t="str">
        <f t="shared" si="1"/>
        <v>JUL</v>
      </c>
      <c r="D8" s="6" t="str">
        <f t="shared" si="2"/>
        <v>UK</v>
      </c>
      <c r="E8" s="6" t="s">
        <v>33</v>
      </c>
      <c r="F8" s="6" t="s">
        <v>34</v>
      </c>
      <c r="G8" s="6">
        <v>30</v>
      </c>
      <c r="H8" s="6" t="str">
        <f t="shared" si="3"/>
        <v>Standard Price</v>
      </c>
      <c r="I8" s="6">
        <v>5</v>
      </c>
      <c r="J8" s="6" t="s">
        <v>17</v>
      </c>
    </row>
    <row r="9" spans="1:10">
      <c r="A9" s="6" t="s">
        <v>35</v>
      </c>
      <c r="B9" s="6" t="str">
        <f t="shared" si="0"/>
        <v>23</v>
      </c>
      <c r="C9" s="6" t="str">
        <f t="shared" si="1"/>
        <v>AUG</v>
      </c>
      <c r="D9" s="6" t="str">
        <f t="shared" si="2"/>
        <v>UK</v>
      </c>
      <c r="E9" s="6" t="s">
        <v>36</v>
      </c>
      <c r="F9" s="6" t="s">
        <v>37</v>
      </c>
      <c r="G9" s="6">
        <v>90</v>
      </c>
      <c r="H9" s="6" t="str">
        <f t="shared" si="3"/>
        <v>Standard Price</v>
      </c>
      <c r="I9" s="6">
        <v>35</v>
      </c>
      <c r="J9" s="6" t="s">
        <v>21</v>
      </c>
    </row>
    <row r="10" spans="1:10">
      <c r="A10" s="6" t="s">
        <v>38</v>
      </c>
      <c r="B10" s="6" t="str">
        <f t="shared" si="0"/>
        <v>05</v>
      </c>
      <c r="C10" s="6" t="str">
        <f t="shared" si="1"/>
        <v>SEP</v>
      </c>
      <c r="D10" s="6" t="str">
        <f t="shared" si="2"/>
        <v>UK</v>
      </c>
      <c r="E10" s="6" t="s">
        <v>39</v>
      </c>
      <c r="F10" s="6" t="s">
        <v>40</v>
      </c>
      <c r="G10" s="6">
        <v>500</v>
      </c>
      <c r="H10" s="6" t="str">
        <f t="shared" si="3"/>
        <v>High Price</v>
      </c>
      <c r="I10" s="6">
        <v>50</v>
      </c>
      <c r="J10" s="6" t="s">
        <v>13</v>
      </c>
    </row>
    <row r="11" spans="1:10">
      <c r="A11" s="6" t="s">
        <v>41</v>
      </c>
      <c r="B11" s="6" t="str">
        <f t="shared" si="0"/>
        <v>14</v>
      </c>
      <c r="C11" s="6" t="str">
        <f t="shared" si="1"/>
        <v>OCT</v>
      </c>
      <c r="D11" s="6" t="str">
        <f t="shared" si="2"/>
        <v>UK</v>
      </c>
      <c r="E11" s="6" t="s">
        <v>42</v>
      </c>
      <c r="F11" s="6" t="s">
        <v>43</v>
      </c>
      <c r="G11" s="6">
        <v>130</v>
      </c>
      <c r="H11" s="6" t="str">
        <f t="shared" si="3"/>
        <v>Standard Price</v>
      </c>
      <c r="I11" s="6">
        <v>10</v>
      </c>
      <c r="J11" s="6" t="s">
        <v>28</v>
      </c>
    </row>
    <row r="12" spans="1:10">
      <c r="A12" s="6" t="s">
        <v>44</v>
      </c>
      <c r="B12" s="6" t="str">
        <f t="shared" si="0"/>
        <v>17</v>
      </c>
      <c r="C12" s="6" t="str">
        <f t="shared" si="1"/>
        <v>JUN</v>
      </c>
      <c r="D12" s="6" t="str">
        <f t="shared" si="2"/>
        <v>IN</v>
      </c>
      <c r="E12" s="6" t="s">
        <v>11</v>
      </c>
      <c r="F12" s="6" t="s">
        <v>45</v>
      </c>
      <c r="G12" s="6">
        <v>950</v>
      </c>
      <c r="H12" s="6" t="str">
        <f t="shared" si="3"/>
        <v>High Price</v>
      </c>
      <c r="I12" s="6">
        <v>25</v>
      </c>
      <c r="J12" s="6" t="s">
        <v>13</v>
      </c>
    </row>
    <row r="13" spans="1:10">
      <c r="A13" s="6" t="s">
        <v>46</v>
      </c>
      <c r="B13" s="6" t="str">
        <f t="shared" si="0"/>
        <v>25</v>
      </c>
      <c r="C13" s="6" t="str">
        <f t="shared" si="1"/>
        <v>NOV</v>
      </c>
      <c r="D13" s="6" t="str">
        <f t="shared" si="2"/>
        <v>AU</v>
      </c>
      <c r="E13" s="6" t="s">
        <v>15</v>
      </c>
      <c r="F13" s="6" t="s">
        <v>34</v>
      </c>
      <c r="G13" s="6">
        <v>90</v>
      </c>
      <c r="H13" s="6" t="str">
        <f t="shared" si="3"/>
        <v>Standard Price</v>
      </c>
      <c r="I13" s="6">
        <v>40</v>
      </c>
      <c r="J13" s="6" t="s">
        <v>17</v>
      </c>
    </row>
    <row r="14" spans="1:10">
      <c r="A14" s="6" t="s">
        <v>47</v>
      </c>
      <c r="B14" s="6" t="str">
        <f t="shared" si="0"/>
        <v>08</v>
      </c>
      <c r="C14" s="6" t="str">
        <f t="shared" si="1"/>
        <v>DEC</v>
      </c>
      <c r="D14" s="6" t="str">
        <f t="shared" si="2"/>
        <v>DE</v>
      </c>
      <c r="E14" s="6" t="s">
        <v>19</v>
      </c>
      <c r="F14" s="6" t="s">
        <v>48</v>
      </c>
      <c r="G14" s="6">
        <v>120</v>
      </c>
      <c r="H14" s="6" t="str">
        <f t="shared" si="3"/>
        <v>Standard Price</v>
      </c>
      <c r="I14" s="6">
        <v>35</v>
      </c>
      <c r="J14" s="6" t="s">
        <v>21</v>
      </c>
    </row>
    <row r="15" spans="1:10">
      <c r="A15" s="6" t="s">
        <v>49</v>
      </c>
      <c r="B15" s="6" t="str">
        <f t="shared" si="0"/>
        <v>18</v>
      </c>
      <c r="C15" s="6" t="str">
        <f t="shared" si="1"/>
        <v>FEB</v>
      </c>
      <c r="D15" s="6" t="str">
        <f t="shared" si="2"/>
        <v>CA</v>
      </c>
      <c r="E15" s="6" t="s">
        <v>50</v>
      </c>
      <c r="F15" s="6" t="s">
        <v>51</v>
      </c>
      <c r="G15" s="6">
        <v>150</v>
      </c>
      <c r="H15" s="6" t="str">
        <f t="shared" si="3"/>
        <v>Standard Price</v>
      </c>
      <c r="I15" s="6">
        <v>15</v>
      </c>
      <c r="J15" s="6" t="s">
        <v>13</v>
      </c>
    </row>
    <row r="16" spans="1:10">
      <c r="A16" s="6" t="s">
        <v>52</v>
      </c>
      <c r="B16" s="6" t="str">
        <f t="shared" si="0"/>
        <v>16</v>
      </c>
      <c r="C16" s="6" t="str">
        <f t="shared" si="1"/>
        <v>APR</v>
      </c>
      <c r="D16" s="6" t="str">
        <f t="shared" si="2"/>
        <v>ES</v>
      </c>
      <c r="E16" s="6" t="s">
        <v>30</v>
      </c>
      <c r="F16" s="6" t="s">
        <v>53</v>
      </c>
      <c r="G16" s="6">
        <v>250</v>
      </c>
      <c r="H16" s="6" t="str">
        <f t="shared" si="3"/>
        <v>Standard Price</v>
      </c>
      <c r="I16" s="6">
        <v>20</v>
      </c>
      <c r="J16" s="6" t="s">
        <v>13</v>
      </c>
    </row>
    <row r="17" spans="1:10">
      <c r="A17" s="6" t="s">
        <v>54</v>
      </c>
      <c r="B17" s="6" t="str">
        <f t="shared" si="0"/>
        <v>21</v>
      </c>
      <c r="C17" s="6" t="str">
        <f t="shared" si="1"/>
        <v>AUG</v>
      </c>
      <c r="D17" s="6" t="str">
        <f t="shared" si="2"/>
        <v>CA</v>
      </c>
      <c r="E17" s="6" t="s">
        <v>55</v>
      </c>
      <c r="F17" s="6" t="s">
        <v>56</v>
      </c>
      <c r="G17" s="6">
        <v>50</v>
      </c>
      <c r="H17" s="6" t="str">
        <f t="shared" si="3"/>
        <v>Standard Price</v>
      </c>
      <c r="I17" s="6">
        <v>35</v>
      </c>
      <c r="J17" s="6" t="s">
        <v>57</v>
      </c>
    </row>
    <row r="18" spans="1:10">
      <c r="A18" s="6" t="s">
        <v>58</v>
      </c>
      <c r="B18" s="6" t="str">
        <f t="shared" si="0"/>
        <v>20</v>
      </c>
      <c r="C18" s="6" t="str">
        <f t="shared" si="1"/>
        <v>AUG</v>
      </c>
      <c r="D18" s="6" t="str">
        <f t="shared" si="2"/>
        <v>CN</v>
      </c>
      <c r="E18" s="6" t="s">
        <v>50</v>
      </c>
      <c r="F18" s="6" t="s">
        <v>59</v>
      </c>
      <c r="G18" s="6">
        <v>160</v>
      </c>
      <c r="H18" s="6" t="str">
        <f t="shared" si="3"/>
        <v>Standard Price</v>
      </c>
      <c r="I18" s="6">
        <v>15</v>
      </c>
      <c r="J18" s="6" t="s">
        <v>13</v>
      </c>
    </row>
    <row r="19" spans="1:10">
      <c r="A19" s="6" t="s">
        <v>60</v>
      </c>
      <c r="B19" s="6" t="str">
        <f t="shared" si="0"/>
        <v>27</v>
      </c>
      <c r="C19" s="6" t="str">
        <f t="shared" si="1"/>
        <v>JAN</v>
      </c>
      <c r="D19" s="6" t="str">
        <f t="shared" si="2"/>
        <v>IT</v>
      </c>
      <c r="E19" s="6" t="s">
        <v>11</v>
      </c>
      <c r="F19" s="6" t="s">
        <v>61</v>
      </c>
      <c r="G19" s="6">
        <v>980</v>
      </c>
      <c r="H19" s="6" t="str">
        <f t="shared" si="3"/>
        <v>High Price</v>
      </c>
      <c r="I19" s="6">
        <v>10</v>
      </c>
      <c r="J19" s="6" t="s">
        <v>13</v>
      </c>
    </row>
    <row r="20" spans="1:10">
      <c r="A20" s="6" t="s">
        <v>62</v>
      </c>
      <c r="B20" s="6" t="str">
        <f t="shared" si="0"/>
        <v>01</v>
      </c>
      <c r="C20" s="6" t="str">
        <f t="shared" si="1"/>
        <v>MAR</v>
      </c>
      <c r="D20" s="6" t="str">
        <f t="shared" si="2"/>
        <v>UK</v>
      </c>
      <c r="E20" s="6" t="s">
        <v>63</v>
      </c>
      <c r="F20" s="6" t="s">
        <v>64</v>
      </c>
      <c r="G20" s="6">
        <v>150</v>
      </c>
      <c r="H20" s="6" t="str">
        <f t="shared" si="3"/>
        <v>Standard Price</v>
      </c>
      <c r="I20" s="6">
        <v>15</v>
      </c>
      <c r="J20" s="6" t="s">
        <v>17</v>
      </c>
    </row>
    <row r="21" spans="1:10">
      <c r="A21" s="6" t="s">
        <v>65</v>
      </c>
      <c r="B21" s="6" t="str">
        <f t="shared" si="0"/>
        <v>14</v>
      </c>
      <c r="C21" s="6" t="str">
        <f t="shared" si="1"/>
        <v>AUG</v>
      </c>
      <c r="D21" s="6" t="str">
        <f t="shared" si="2"/>
        <v>US</v>
      </c>
      <c r="E21" s="6" t="s">
        <v>66</v>
      </c>
      <c r="F21" s="6" t="s">
        <v>67</v>
      </c>
      <c r="G21" s="6">
        <v>200</v>
      </c>
      <c r="H21" s="6" t="str">
        <f t="shared" si="3"/>
        <v>Standard Price</v>
      </c>
      <c r="I21" s="6">
        <v>10</v>
      </c>
      <c r="J21" s="6" t="s">
        <v>28</v>
      </c>
    </row>
    <row r="22" spans="1:10">
      <c r="A22" s="6" t="s">
        <v>68</v>
      </c>
      <c r="B22" s="6" t="str">
        <f t="shared" si="0"/>
        <v>14</v>
      </c>
      <c r="C22" s="6" t="str">
        <f t="shared" si="1"/>
        <v>MAY</v>
      </c>
      <c r="D22" s="6" t="str">
        <f t="shared" si="2"/>
        <v>RU</v>
      </c>
      <c r="E22" s="6" t="s">
        <v>69</v>
      </c>
      <c r="F22" s="6" t="s">
        <v>70</v>
      </c>
      <c r="G22" s="6">
        <v>700</v>
      </c>
      <c r="H22" s="6" t="str">
        <f t="shared" si="3"/>
        <v>High Price</v>
      </c>
      <c r="I22" s="6">
        <v>50</v>
      </c>
      <c r="J22" s="6" t="s">
        <v>13</v>
      </c>
    </row>
    <row r="23" spans="1:10">
      <c r="A23" s="6" t="s">
        <v>71</v>
      </c>
      <c r="B23" s="6" t="str">
        <f t="shared" si="0"/>
        <v>09</v>
      </c>
      <c r="C23" s="6" t="str">
        <f t="shared" si="1"/>
        <v>JAN</v>
      </c>
      <c r="D23" s="6" t="str">
        <f t="shared" si="2"/>
        <v>CA</v>
      </c>
      <c r="E23" s="6" t="s">
        <v>72</v>
      </c>
      <c r="F23" s="6" t="s">
        <v>73</v>
      </c>
      <c r="G23" s="6">
        <v>80</v>
      </c>
      <c r="H23" s="6" t="str">
        <f t="shared" si="3"/>
        <v>Standard Price</v>
      </c>
      <c r="I23" s="6">
        <v>20</v>
      </c>
      <c r="J23" s="6" t="s">
        <v>21</v>
      </c>
    </row>
    <row r="24" spans="1:10">
      <c r="A24" s="6" t="s">
        <v>74</v>
      </c>
      <c r="B24" s="6" t="str">
        <f t="shared" si="0"/>
        <v>19</v>
      </c>
      <c r="C24" s="6" t="str">
        <f t="shared" si="1"/>
        <v>JUL</v>
      </c>
      <c r="D24" s="6" t="str">
        <f t="shared" si="2"/>
        <v>BR</v>
      </c>
      <c r="E24" s="6" t="s">
        <v>75</v>
      </c>
      <c r="F24" s="6" t="s">
        <v>76</v>
      </c>
      <c r="G24" s="6">
        <v>150</v>
      </c>
      <c r="H24" s="6" t="str">
        <f t="shared" si="3"/>
        <v>Standard Price</v>
      </c>
      <c r="I24" s="6">
        <v>30</v>
      </c>
      <c r="J24" s="6" t="s">
        <v>13</v>
      </c>
    </row>
    <row r="25" spans="1:10">
      <c r="A25" s="6" t="s">
        <v>54</v>
      </c>
      <c r="B25" s="6" t="str">
        <f t="shared" si="0"/>
        <v>21</v>
      </c>
      <c r="C25" s="6" t="str">
        <f t="shared" si="1"/>
        <v>AUG</v>
      </c>
      <c r="D25" s="6" t="str">
        <f t="shared" si="2"/>
        <v>CA</v>
      </c>
      <c r="E25" s="6" t="s">
        <v>55</v>
      </c>
      <c r="F25" s="6" t="s">
        <v>56</v>
      </c>
      <c r="G25" s="6">
        <v>50</v>
      </c>
      <c r="H25" s="6" t="str">
        <f t="shared" si="3"/>
        <v>Standard Price</v>
      </c>
      <c r="I25" s="6">
        <v>35</v>
      </c>
      <c r="J25" s="6" t="s">
        <v>57</v>
      </c>
    </row>
    <row r="26" spans="1:10">
      <c r="A26" s="6" t="s">
        <v>77</v>
      </c>
      <c r="B26" s="6" t="str">
        <f t="shared" si="0"/>
        <v>29</v>
      </c>
      <c r="C26" s="6" t="str">
        <f t="shared" si="1"/>
        <v>SEP</v>
      </c>
      <c r="D26" s="6" t="str">
        <f t="shared" si="2"/>
        <v>CA</v>
      </c>
      <c r="E26" s="6" t="s">
        <v>23</v>
      </c>
      <c r="F26" s="6" t="s">
        <v>78</v>
      </c>
      <c r="G26" s="6">
        <v>800</v>
      </c>
      <c r="H26" s="6" t="str">
        <f t="shared" si="3"/>
        <v>High Price</v>
      </c>
      <c r="I26" s="6">
        <v>45</v>
      </c>
      <c r="J26" s="6" t="s">
        <v>13</v>
      </c>
    </row>
    <row r="27" spans="1:10">
      <c r="A27" s="6" t="s">
        <v>79</v>
      </c>
      <c r="B27" s="6" t="str">
        <f t="shared" si="0"/>
        <v>03</v>
      </c>
      <c r="C27" s="6" t="str">
        <f t="shared" si="1"/>
        <v>JUN</v>
      </c>
      <c r="D27" s="6" t="str">
        <f t="shared" si="2"/>
        <v>CA</v>
      </c>
      <c r="E27" s="6" t="s">
        <v>63</v>
      </c>
      <c r="F27" s="6" t="s">
        <v>80</v>
      </c>
      <c r="G27" s="6">
        <v>130</v>
      </c>
      <c r="H27" s="6" t="str">
        <f t="shared" si="3"/>
        <v>Standard Price</v>
      </c>
      <c r="I27" s="6">
        <v>25</v>
      </c>
      <c r="J27" s="6" t="s">
        <v>17</v>
      </c>
    </row>
    <row r="28" spans="1:10">
      <c r="A28" s="6" t="s">
        <v>81</v>
      </c>
      <c r="B28" s="6" t="str">
        <f t="shared" si="0"/>
        <v>11</v>
      </c>
      <c r="C28" s="6" t="str">
        <f t="shared" si="1"/>
        <v>JUL</v>
      </c>
      <c r="D28" s="6" t="str">
        <f t="shared" si="2"/>
        <v>CA</v>
      </c>
      <c r="E28" s="6" t="s">
        <v>36</v>
      </c>
      <c r="F28" s="6" t="s">
        <v>82</v>
      </c>
      <c r="G28" s="6">
        <v>400</v>
      </c>
      <c r="H28" s="6" t="str">
        <f t="shared" si="3"/>
        <v>Standard Price</v>
      </c>
      <c r="I28" s="6">
        <v>40</v>
      </c>
      <c r="J28" s="6" t="s">
        <v>21</v>
      </c>
    </row>
    <row r="29" spans="1:10">
      <c r="A29" s="6" t="s">
        <v>52</v>
      </c>
      <c r="B29" s="6" t="str">
        <f t="shared" si="0"/>
        <v>16</v>
      </c>
      <c r="C29" s="6" t="str">
        <f t="shared" si="1"/>
        <v>APR</v>
      </c>
      <c r="D29" s="6" t="str">
        <f t="shared" si="2"/>
        <v>ES</v>
      </c>
      <c r="E29" s="6" t="s">
        <v>30</v>
      </c>
      <c r="F29" s="6" t="s">
        <v>53</v>
      </c>
      <c r="G29" s="6">
        <v>230</v>
      </c>
      <c r="H29" s="6" t="str">
        <f t="shared" si="3"/>
        <v>Standard Price</v>
      </c>
      <c r="I29" s="6">
        <v>20</v>
      </c>
      <c r="J29" s="6" t="s">
        <v>13</v>
      </c>
    </row>
    <row r="30" spans="1:10">
      <c r="A30" s="6" t="s">
        <v>83</v>
      </c>
      <c r="B30" s="6" t="str">
        <f t="shared" si="0"/>
        <v>07</v>
      </c>
      <c r="C30" s="6" t="str">
        <f t="shared" si="1"/>
        <v>MAR</v>
      </c>
      <c r="D30" s="6" t="str">
        <f t="shared" si="2"/>
        <v>CA</v>
      </c>
      <c r="E30" s="6" t="s">
        <v>84</v>
      </c>
      <c r="F30" s="6" t="s">
        <v>85</v>
      </c>
      <c r="G30" s="6">
        <v>60</v>
      </c>
      <c r="H30" s="6" t="str">
        <f t="shared" si="3"/>
        <v>Standard Price</v>
      </c>
      <c r="I30" s="6">
        <v>30</v>
      </c>
      <c r="J30" s="6" t="s">
        <v>17</v>
      </c>
    </row>
    <row r="31" spans="1:10">
      <c r="A31" s="6" t="s">
        <v>86</v>
      </c>
      <c r="B31" s="6" t="str">
        <f t="shared" si="0"/>
        <v>13</v>
      </c>
      <c r="C31" s="6" t="str">
        <f t="shared" si="1"/>
        <v>APR</v>
      </c>
      <c r="D31" s="6" t="str">
        <f t="shared" si="2"/>
        <v>CA</v>
      </c>
      <c r="E31" s="6" t="s">
        <v>87</v>
      </c>
      <c r="F31" s="6" t="s">
        <v>88</v>
      </c>
      <c r="G31" s="6">
        <v>40</v>
      </c>
      <c r="H31" s="6" t="str">
        <f t="shared" si="3"/>
        <v>Standard Price</v>
      </c>
      <c r="I31" s="6">
        <v>10</v>
      </c>
      <c r="J31" s="6" t="s">
        <v>21</v>
      </c>
    </row>
    <row r="32" spans="1:10">
      <c r="A32" s="6" t="s">
        <v>89</v>
      </c>
      <c r="B32" s="6" t="str">
        <f t="shared" si="0"/>
        <v>24</v>
      </c>
      <c r="C32" s="6" t="str">
        <f t="shared" si="1"/>
        <v>MAY</v>
      </c>
      <c r="D32" s="6" t="str">
        <f t="shared" si="2"/>
        <v>CA</v>
      </c>
      <c r="E32" s="6" t="s">
        <v>75</v>
      </c>
      <c r="F32" s="6" t="s">
        <v>90</v>
      </c>
      <c r="G32" s="6">
        <v>130</v>
      </c>
      <c r="H32" s="6" t="str">
        <f t="shared" si="3"/>
        <v>Standard Price</v>
      </c>
      <c r="I32" s="6">
        <v>5</v>
      </c>
      <c r="J32" s="6" t="s">
        <v>13</v>
      </c>
    </row>
    <row r="33" spans="1:10">
      <c r="A33" s="6" t="s">
        <v>91</v>
      </c>
      <c r="B33" s="6" t="str">
        <f t="shared" si="0"/>
        <v>02</v>
      </c>
      <c r="C33" s="6" t="str">
        <f t="shared" si="1"/>
        <v>DEC</v>
      </c>
      <c r="D33" s="6" t="str">
        <f t="shared" si="2"/>
        <v>CA</v>
      </c>
      <c r="E33" s="6" t="s">
        <v>92</v>
      </c>
      <c r="F33" s="6" t="s">
        <v>93</v>
      </c>
      <c r="G33" s="6">
        <v>50</v>
      </c>
      <c r="H33" s="6" t="str">
        <f t="shared" si="3"/>
        <v>Standard Price</v>
      </c>
      <c r="I33" s="6">
        <v>50</v>
      </c>
      <c r="J33" s="6" t="s">
        <v>17</v>
      </c>
    </row>
    <row r="34" spans="1:10">
      <c r="A34" s="6" t="s">
        <v>44</v>
      </c>
      <c r="B34" s="6" t="str">
        <f t="shared" si="0"/>
        <v>17</v>
      </c>
      <c r="C34" s="6" t="str">
        <f t="shared" si="1"/>
        <v>JUN</v>
      </c>
      <c r="D34" s="6" t="str">
        <f t="shared" si="2"/>
        <v>IN</v>
      </c>
      <c r="E34" s="6" t="s">
        <v>11</v>
      </c>
      <c r="F34" s="6" t="s">
        <v>45</v>
      </c>
      <c r="G34" s="6">
        <v>950</v>
      </c>
      <c r="H34" s="6" t="str">
        <f t="shared" si="3"/>
        <v>High Price</v>
      </c>
      <c r="I34" s="6">
        <v>25</v>
      </c>
      <c r="J34" s="6" t="s">
        <v>13</v>
      </c>
    </row>
    <row r="35" spans="1:10">
      <c r="A35" s="6" t="s">
        <v>94</v>
      </c>
      <c r="B35" s="6" t="str">
        <f t="shared" si="0"/>
        <v>09</v>
      </c>
      <c r="C35" s="6" t="str">
        <f t="shared" si="1"/>
        <v>JUL</v>
      </c>
      <c r="D35" s="6" t="str">
        <f t="shared" si="2"/>
        <v>FR</v>
      </c>
      <c r="E35" s="6" t="s">
        <v>95</v>
      </c>
      <c r="F35" s="6" t="s">
        <v>96</v>
      </c>
      <c r="G35" s="6">
        <v>100</v>
      </c>
      <c r="H35" s="6" t="str">
        <f t="shared" si="3"/>
        <v>Standard Price</v>
      </c>
      <c r="I35" s="6">
        <v>20</v>
      </c>
      <c r="J35" s="6" t="s">
        <v>57</v>
      </c>
    </row>
    <row r="39" spans="1:10">
      <c r="D39" s="5"/>
      <c r="E39" s="5"/>
      <c r="F39" s="5"/>
      <c r="G39" s="5"/>
      <c r="H39" s="5"/>
    </row>
    <row r="40" spans="1:10">
      <c r="D40" s="2"/>
      <c r="E40" s="2"/>
      <c r="F40" s="11" t="s">
        <v>97</v>
      </c>
      <c r="G40" s="1">
        <f>SUM(G2:G35)</f>
        <v>10100</v>
      </c>
      <c r="H40" s="5"/>
    </row>
    <row r="41" spans="1:10">
      <c r="D41" s="2"/>
      <c r="E41" s="2"/>
      <c r="F41" s="12" t="s">
        <v>98</v>
      </c>
      <c r="G41" s="3">
        <f>AVERAGE(G2:G35)</f>
        <v>297.05882352941177</v>
      </c>
      <c r="H41" s="5"/>
    </row>
    <row r="42" spans="1:10">
      <c r="D42" s="2"/>
      <c r="E42" s="2"/>
      <c r="F42" s="12" t="s">
        <v>99</v>
      </c>
      <c r="G42" s="3">
        <f>MIN(G2:G35)</f>
        <v>30</v>
      </c>
      <c r="H42" s="5"/>
    </row>
    <row r="43" spans="1:10">
      <c r="D43" s="2"/>
      <c r="E43" s="2"/>
      <c r="F43" s="12" t="s">
        <v>100</v>
      </c>
      <c r="G43" s="3">
        <f>MAX(G2:G35)</f>
        <v>1000</v>
      </c>
      <c r="H43" s="5"/>
    </row>
    <row r="44" spans="1:10">
      <c r="D44" s="2"/>
      <c r="E44" s="2"/>
      <c r="F44" s="12" t="s">
        <v>101</v>
      </c>
      <c r="G44" s="3">
        <f>SUMIF(J2:J35,"Electronics",G2:G35)</f>
        <v>8050</v>
      </c>
      <c r="H44" s="5"/>
    </row>
    <row r="45" spans="1:10">
      <c r="D45" s="2"/>
      <c r="E45" s="2"/>
      <c r="F45" s="12" t="s">
        <v>102</v>
      </c>
      <c r="G45" s="3">
        <f>COUNTIF(G2:G35,"&lt;100")</f>
        <v>11</v>
      </c>
      <c r="H45" s="5"/>
    </row>
    <row r="46" spans="1:10">
      <c r="D46" s="2"/>
      <c r="E46" s="2"/>
      <c r="F46" s="13" t="s">
        <v>103</v>
      </c>
      <c r="G46" s="4">
        <f>COUNT(I2:I35)</f>
        <v>34</v>
      </c>
      <c r="H46" s="5"/>
    </row>
    <row r="47" spans="1:10">
      <c r="D47" s="5"/>
      <c r="E47" s="5"/>
      <c r="F47" s="5"/>
      <c r="G47" s="5"/>
      <c r="H47" s="5"/>
    </row>
    <row r="48" spans="1:10">
      <c r="D48" s="5"/>
      <c r="E48" s="5"/>
      <c r="F48" s="5"/>
      <c r="G48" s="5"/>
      <c r="H48" s="5"/>
    </row>
    <row r="49" spans="4:8">
      <c r="D49" s="5"/>
      <c r="E49" s="5"/>
      <c r="F49" s="5"/>
      <c r="G49" s="5"/>
      <c r="H49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18FA5-1158-4CF9-95AB-80222E6770F4}">
  <dimension ref="A1:H49"/>
  <sheetViews>
    <sheetView topLeftCell="A35" workbookViewId="0">
      <selection activeCell="C37" sqref="C37:D37"/>
    </sheetView>
  </sheetViews>
  <sheetFormatPr defaultRowHeight="15"/>
  <cols>
    <col min="1" max="1" width="12.5703125" bestFit="1" customWidth="1"/>
    <col min="2" max="2" width="15.7109375" bestFit="1" customWidth="1"/>
    <col min="3" max="3" width="15" bestFit="1" customWidth="1"/>
    <col min="4" max="4" width="10.42578125" bestFit="1" customWidth="1"/>
    <col min="5" max="5" width="11.140625" bestFit="1" customWidth="1"/>
  </cols>
  <sheetData>
    <row r="1" spans="1:5">
      <c r="A1" s="7" t="s">
        <v>0</v>
      </c>
      <c r="B1" s="7" t="s">
        <v>4</v>
      </c>
      <c r="C1" s="7" t="s">
        <v>5</v>
      </c>
      <c r="D1" s="7" t="s">
        <v>6</v>
      </c>
      <c r="E1" s="7" t="s">
        <v>9</v>
      </c>
    </row>
    <row r="2" spans="1:5">
      <c r="A2" s="6" t="s">
        <v>10</v>
      </c>
      <c r="B2" s="6" t="s">
        <v>11</v>
      </c>
      <c r="C2" s="6" t="s">
        <v>12</v>
      </c>
      <c r="D2" s="6">
        <v>1000</v>
      </c>
      <c r="E2" s="6" t="s">
        <v>13</v>
      </c>
    </row>
    <row r="3" spans="1:5">
      <c r="A3" s="6" t="s">
        <v>14</v>
      </c>
      <c r="B3" s="6" t="s">
        <v>15</v>
      </c>
      <c r="C3" s="6" t="s">
        <v>16</v>
      </c>
      <c r="D3" s="6">
        <v>80</v>
      </c>
      <c r="E3" s="6" t="s">
        <v>17</v>
      </c>
    </row>
    <row r="4" spans="1:5">
      <c r="A4" s="6" t="s">
        <v>18</v>
      </c>
      <c r="B4" s="6" t="s">
        <v>19</v>
      </c>
      <c r="C4" s="6" t="s">
        <v>20</v>
      </c>
      <c r="D4" s="6">
        <v>130</v>
      </c>
      <c r="E4" s="6" t="s">
        <v>21</v>
      </c>
    </row>
    <row r="5" spans="1:5">
      <c r="A5" s="6" t="s">
        <v>22</v>
      </c>
      <c r="B5" s="6" t="s">
        <v>23</v>
      </c>
      <c r="C5" s="6" t="s">
        <v>24</v>
      </c>
      <c r="D5" s="6">
        <v>900</v>
      </c>
      <c r="E5" s="6" t="s">
        <v>13</v>
      </c>
    </row>
    <row r="6" spans="1:5">
      <c r="A6" s="6" t="s">
        <v>25</v>
      </c>
      <c r="B6" s="6" t="s">
        <v>26</v>
      </c>
      <c r="C6" s="6" t="s">
        <v>27</v>
      </c>
      <c r="D6" s="6">
        <v>70</v>
      </c>
      <c r="E6" s="6" t="s">
        <v>28</v>
      </c>
    </row>
    <row r="7" spans="1:5">
      <c r="A7" s="6" t="s">
        <v>29</v>
      </c>
      <c r="B7" s="6" t="s">
        <v>30</v>
      </c>
      <c r="C7" s="6" t="s">
        <v>31</v>
      </c>
      <c r="D7" s="6">
        <v>200</v>
      </c>
      <c r="E7" s="6" t="s">
        <v>13</v>
      </c>
    </row>
    <row r="8" spans="1:5">
      <c r="A8" s="6" t="s">
        <v>32</v>
      </c>
      <c r="B8" s="6" t="s">
        <v>33</v>
      </c>
      <c r="C8" s="6" t="s">
        <v>34</v>
      </c>
      <c r="D8" s="6">
        <v>30</v>
      </c>
      <c r="E8" s="6" t="s">
        <v>17</v>
      </c>
    </row>
    <row r="9" spans="1:5">
      <c r="A9" s="6" t="s">
        <v>35</v>
      </c>
      <c r="B9" s="6" t="s">
        <v>36</v>
      </c>
      <c r="C9" s="6" t="s">
        <v>37</v>
      </c>
      <c r="D9" s="6">
        <v>90</v>
      </c>
      <c r="E9" s="6" t="s">
        <v>21</v>
      </c>
    </row>
    <row r="10" spans="1:5">
      <c r="A10" s="6" t="s">
        <v>38</v>
      </c>
      <c r="B10" s="6" t="s">
        <v>39</v>
      </c>
      <c r="C10" s="6" t="s">
        <v>40</v>
      </c>
      <c r="D10" s="6">
        <v>500</v>
      </c>
      <c r="E10" s="6" t="s">
        <v>13</v>
      </c>
    </row>
    <row r="11" spans="1:5">
      <c r="A11" s="6" t="s">
        <v>41</v>
      </c>
      <c r="B11" s="6" t="s">
        <v>42</v>
      </c>
      <c r="C11" s="6" t="s">
        <v>43</v>
      </c>
      <c r="D11" s="6">
        <v>130</v>
      </c>
      <c r="E11" s="6" t="s">
        <v>28</v>
      </c>
    </row>
    <row r="12" spans="1:5">
      <c r="A12" s="6" t="s">
        <v>44</v>
      </c>
      <c r="B12" s="6" t="s">
        <v>11</v>
      </c>
      <c r="C12" s="6" t="s">
        <v>45</v>
      </c>
      <c r="D12" s="6">
        <v>950</v>
      </c>
      <c r="E12" s="6" t="s">
        <v>13</v>
      </c>
    </row>
    <row r="13" spans="1:5">
      <c r="A13" s="6" t="s">
        <v>46</v>
      </c>
      <c r="B13" s="6" t="s">
        <v>15</v>
      </c>
      <c r="C13" s="6" t="s">
        <v>34</v>
      </c>
      <c r="D13" s="6">
        <v>90</v>
      </c>
      <c r="E13" s="6" t="s">
        <v>17</v>
      </c>
    </row>
    <row r="14" spans="1:5">
      <c r="A14" s="6" t="s">
        <v>47</v>
      </c>
      <c r="B14" s="6" t="s">
        <v>19</v>
      </c>
      <c r="C14" s="6" t="s">
        <v>48</v>
      </c>
      <c r="D14" s="6">
        <v>120</v>
      </c>
      <c r="E14" s="6" t="s">
        <v>21</v>
      </c>
    </row>
    <row r="15" spans="1:5">
      <c r="A15" s="6" t="s">
        <v>49</v>
      </c>
      <c r="B15" s="6" t="s">
        <v>50</v>
      </c>
      <c r="C15" s="6" t="s">
        <v>51</v>
      </c>
      <c r="D15" s="6">
        <v>150</v>
      </c>
      <c r="E15" s="6" t="s">
        <v>13</v>
      </c>
    </row>
    <row r="16" spans="1:5">
      <c r="A16" s="6" t="s">
        <v>52</v>
      </c>
      <c r="B16" s="6" t="s">
        <v>30</v>
      </c>
      <c r="C16" s="6" t="s">
        <v>53</v>
      </c>
      <c r="D16" s="6">
        <v>250</v>
      </c>
      <c r="E16" s="6" t="s">
        <v>13</v>
      </c>
    </row>
    <row r="17" spans="1:5">
      <c r="A17" s="6" t="s">
        <v>54</v>
      </c>
      <c r="B17" s="6" t="s">
        <v>55</v>
      </c>
      <c r="C17" s="6" t="s">
        <v>56</v>
      </c>
      <c r="D17" s="6">
        <v>50</v>
      </c>
      <c r="E17" s="6" t="s">
        <v>57</v>
      </c>
    </row>
    <row r="18" spans="1:5">
      <c r="A18" s="6" t="s">
        <v>58</v>
      </c>
      <c r="B18" s="6" t="s">
        <v>50</v>
      </c>
      <c r="C18" s="6" t="s">
        <v>59</v>
      </c>
      <c r="D18" s="6">
        <v>160</v>
      </c>
      <c r="E18" s="6" t="s">
        <v>13</v>
      </c>
    </row>
    <row r="19" spans="1:5">
      <c r="A19" s="6" t="s">
        <v>60</v>
      </c>
      <c r="B19" s="6" t="s">
        <v>11</v>
      </c>
      <c r="C19" s="6" t="s">
        <v>61</v>
      </c>
      <c r="D19" s="6">
        <v>980</v>
      </c>
      <c r="E19" s="6" t="s">
        <v>13</v>
      </c>
    </row>
    <row r="20" spans="1:5">
      <c r="A20" s="6" t="s">
        <v>62</v>
      </c>
      <c r="B20" s="6" t="s">
        <v>63</v>
      </c>
      <c r="C20" s="6" t="s">
        <v>64</v>
      </c>
      <c r="D20" s="6">
        <v>150</v>
      </c>
      <c r="E20" s="6" t="s">
        <v>17</v>
      </c>
    </row>
    <row r="21" spans="1:5">
      <c r="A21" s="6" t="s">
        <v>65</v>
      </c>
      <c r="B21" s="6" t="s">
        <v>66</v>
      </c>
      <c r="C21" s="6" t="s">
        <v>67</v>
      </c>
      <c r="D21" s="6">
        <v>200</v>
      </c>
      <c r="E21" s="6" t="s">
        <v>28</v>
      </c>
    </row>
    <row r="22" spans="1:5">
      <c r="A22" s="6" t="s">
        <v>68</v>
      </c>
      <c r="B22" s="6" t="s">
        <v>69</v>
      </c>
      <c r="C22" s="6" t="s">
        <v>70</v>
      </c>
      <c r="D22" s="6">
        <v>700</v>
      </c>
      <c r="E22" s="6" t="s">
        <v>13</v>
      </c>
    </row>
    <row r="23" spans="1:5">
      <c r="A23" s="6" t="s">
        <v>71</v>
      </c>
      <c r="B23" s="6" t="s">
        <v>72</v>
      </c>
      <c r="C23" s="6" t="s">
        <v>73</v>
      </c>
      <c r="D23" s="6">
        <v>80</v>
      </c>
      <c r="E23" s="6" t="s">
        <v>21</v>
      </c>
    </row>
    <row r="24" spans="1:5">
      <c r="A24" s="6" t="s">
        <v>74</v>
      </c>
      <c r="B24" s="6" t="s">
        <v>75</v>
      </c>
      <c r="C24" s="6" t="s">
        <v>76</v>
      </c>
      <c r="D24" s="6">
        <v>150</v>
      </c>
      <c r="E24" s="6" t="s">
        <v>13</v>
      </c>
    </row>
    <row r="25" spans="1:5">
      <c r="A25" s="6" t="s">
        <v>54</v>
      </c>
      <c r="B25" s="6" t="s">
        <v>55</v>
      </c>
      <c r="C25" s="6" t="s">
        <v>56</v>
      </c>
      <c r="D25" s="6">
        <v>50</v>
      </c>
      <c r="E25" s="6" t="s">
        <v>57</v>
      </c>
    </row>
    <row r="26" spans="1:5">
      <c r="A26" s="6" t="s">
        <v>77</v>
      </c>
      <c r="B26" s="6" t="s">
        <v>23</v>
      </c>
      <c r="C26" s="6" t="s">
        <v>78</v>
      </c>
      <c r="D26" s="6">
        <v>800</v>
      </c>
      <c r="E26" s="6" t="s">
        <v>13</v>
      </c>
    </row>
    <row r="27" spans="1:5">
      <c r="A27" s="6" t="s">
        <v>79</v>
      </c>
      <c r="B27" s="6" t="s">
        <v>63</v>
      </c>
      <c r="C27" s="6" t="s">
        <v>80</v>
      </c>
      <c r="D27" s="6">
        <v>130</v>
      </c>
      <c r="E27" s="6" t="s">
        <v>17</v>
      </c>
    </row>
    <row r="28" spans="1:5">
      <c r="A28" s="6" t="s">
        <v>81</v>
      </c>
      <c r="B28" s="6" t="s">
        <v>36</v>
      </c>
      <c r="C28" s="6" t="s">
        <v>82</v>
      </c>
      <c r="D28" s="6">
        <v>400</v>
      </c>
      <c r="E28" s="6" t="s">
        <v>21</v>
      </c>
    </row>
    <row r="29" spans="1:5">
      <c r="A29" s="6" t="s">
        <v>52</v>
      </c>
      <c r="B29" s="6" t="s">
        <v>30</v>
      </c>
      <c r="C29" s="6" t="s">
        <v>53</v>
      </c>
      <c r="D29" s="6">
        <v>230</v>
      </c>
      <c r="E29" s="6" t="s">
        <v>13</v>
      </c>
    </row>
    <row r="30" spans="1:5">
      <c r="A30" s="6" t="s">
        <v>83</v>
      </c>
      <c r="B30" s="6" t="s">
        <v>84</v>
      </c>
      <c r="C30" s="6" t="s">
        <v>85</v>
      </c>
      <c r="D30" s="6">
        <v>60</v>
      </c>
      <c r="E30" s="6" t="s">
        <v>17</v>
      </c>
    </row>
    <row r="31" spans="1:5">
      <c r="A31" s="6" t="s">
        <v>86</v>
      </c>
      <c r="B31" s="6" t="s">
        <v>87</v>
      </c>
      <c r="C31" s="6" t="s">
        <v>88</v>
      </c>
      <c r="D31" s="6">
        <v>40</v>
      </c>
      <c r="E31" s="6" t="s">
        <v>21</v>
      </c>
    </row>
    <row r="32" spans="1:5">
      <c r="A32" s="6" t="s">
        <v>89</v>
      </c>
      <c r="B32" s="6" t="s">
        <v>75</v>
      </c>
      <c r="C32" s="6" t="s">
        <v>90</v>
      </c>
      <c r="D32" s="6">
        <v>130</v>
      </c>
      <c r="E32" s="6" t="s">
        <v>13</v>
      </c>
    </row>
    <row r="33" spans="1:8">
      <c r="A33" s="6" t="s">
        <v>91</v>
      </c>
      <c r="B33" s="6" t="s">
        <v>92</v>
      </c>
      <c r="C33" s="6" t="s">
        <v>93</v>
      </c>
      <c r="D33" s="6">
        <v>50</v>
      </c>
      <c r="E33" s="6" t="s">
        <v>17</v>
      </c>
    </row>
    <row r="34" spans="1:8">
      <c r="A34" s="6" t="s">
        <v>44</v>
      </c>
      <c r="B34" s="6" t="s">
        <v>11</v>
      </c>
      <c r="C34" s="6" t="s">
        <v>45</v>
      </c>
      <c r="D34" s="6">
        <v>950</v>
      </c>
      <c r="E34" s="6" t="s">
        <v>13</v>
      </c>
    </row>
    <row r="35" spans="1:8">
      <c r="A35" s="6" t="s">
        <v>94</v>
      </c>
      <c r="B35" s="6" t="s">
        <v>95</v>
      </c>
      <c r="C35" s="6" t="s">
        <v>96</v>
      </c>
      <c r="D35" s="6">
        <v>100</v>
      </c>
      <c r="E35" s="6" t="s">
        <v>57</v>
      </c>
    </row>
    <row r="36" spans="1:8">
      <c r="H36" s="5"/>
    </row>
    <row r="37" spans="1:8">
      <c r="C37" s="10" t="s">
        <v>104</v>
      </c>
      <c r="D37" s="10">
        <f>SUM(D2:D36)</f>
        <v>10100</v>
      </c>
      <c r="H37" s="5"/>
    </row>
    <row r="38" spans="1:8">
      <c r="H38" s="5"/>
    </row>
    <row r="39" spans="1:8">
      <c r="H39" s="5"/>
    </row>
    <row r="40" spans="1:8">
      <c r="H40" s="5"/>
    </row>
    <row r="41" spans="1:8">
      <c r="H41" s="5"/>
    </row>
    <row r="42" spans="1:8">
      <c r="H42" s="5"/>
    </row>
    <row r="43" spans="1:8">
      <c r="H43" s="5"/>
    </row>
    <row r="44" spans="1:8">
      <c r="H44" s="5"/>
    </row>
    <row r="45" spans="1:8">
      <c r="H45" s="5"/>
    </row>
    <row r="46" spans="1:8">
      <c r="H46" s="5"/>
    </row>
    <row r="47" spans="1:8">
      <c r="H47" s="5"/>
    </row>
    <row r="48" spans="1:8">
      <c r="H48" s="5"/>
    </row>
    <row r="49" spans="8:8">
      <c r="H49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C87BA-68C2-42E7-BA4F-FF565267A088}">
  <dimension ref="A1:E37"/>
  <sheetViews>
    <sheetView topLeftCell="A25" workbookViewId="0">
      <selection activeCell="C37" sqref="C37:D37"/>
    </sheetView>
  </sheetViews>
  <sheetFormatPr defaultRowHeight="15"/>
  <cols>
    <col min="1" max="1" width="12.5703125" bestFit="1" customWidth="1"/>
    <col min="2" max="2" width="15.7109375" bestFit="1" customWidth="1"/>
    <col min="3" max="3" width="14.140625" bestFit="1" customWidth="1"/>
    <col min="4" max="4" width="10.42578125" bestFit="1" customWidth="1"/>
    <col min="5" max="5" width="11.140625" bestFit="1" customWidth="1"/>
  </cols>
  <sheetData>
    <row r="1" spans="1:5">
      <c r="A1" s="7" t="s">
        <v>0</v>
      </c>
      <c r="B1" s="7" t="s">
        <v>4</v>
      </c>
      <c r="C1" s="7" t="s">
        <v>5</v>
      </c>
      <c r="D1" s="7" t="s">
        <v>6</v>
      </c>
      <c r="E1" s="7" t="s">
        <v>9</v>
      </c>
    </row>
    <row r="2" spans="1:5">
      <c r="A2" s="6" t="s">
        <v>10</v>
      </c>
      <c r="B2" s="6" t="s">
        <v>11</v>
      </c>
      <c r="C2" s="6" t="s">
        <v>12</v>
      </c>
      <c r="D2" s="6">
        <v>1000</v>
      </c>
      <c r="E2" s="6" t="s">
        <v>13</v>
      </c>
    </row>
    <row r="3" spans="1:5">
      <c r="A3" s="6" t="s">
        <v>14</v>
      </c>
      <c r="B3" s="6" t="s">
        <v>15</v>
      </c>
      <c r="C3" s="6" t="s">
        <v>16</v>
      </c>
      <c r="D3" s="6">
        <v>80</v>
      </c>
      <c r="E3" s="6" t="s">
        <v>17</v>
      </c>
    </row>
    <row r="4" spans="1:5">
      <c r="A4" s="6" t="s">
        <v>18</v>
      </c>
      <c r="B4" s="6" t="s">
        <v>19</v>
      </c>
      <c r="C4" s="6" t="s">
        <v>20</v>
      </c>
      <c r="D4" s="6">
        <v>130</v>
      </c>
      <c r="E4" s="6" t="s">
        <v>21</v>
      </c>
    </row>
    <row r="5" spans="1:5">
      <c r="A5" s="6" t="s">
        <v>22</v>
      </c>
      <c r="B5" s="6" t="s">
        <v>23</v>
      </c>
      <c r="C5" s="6" t="s">
        <v>24</v>
      </c>
      <c r="D5" s="6">
        <v>900</v>
      </c>
      <c r="E5" s="6" t="s">
        <v>13</v>
      </c>
    </row>
    <row r="6" spans="1:5">
      <c r="A6" s="6" t="s">
        <v>25</v>
      </c>
      <c r="B6" s="6" t="s">
        <v>26</v>
      </c>
      <c r="C6" s="6" t="s">
        <v>27</v>
      </c>
      <c r="D6" s="6">
        <v>70</v>
      </c>
      <c r="E6" s="6" t="s">
        <v>28</v>
      </c>
    </row>
    <row r="7" spans="1:5">
      <c r="A7" s="6" t="s">
        <v>29</v>
      </c>
      <c r="B7" s="6" t="s">
        <v>30</v>
      </c>
      <c r="C7" s="6" t="s">
        <v>31</v>
      </c>
      <c r="D7" s="6">
        <v>200</v>
      </c>
      <c r="E7" s="6" t="s">
        <v>13</v>
      </c>
    </row>
    <row r="8" spans="1:5">
      <c r="A8" s="6" t="s">
        <v>32</v>
      </c>
      <c r="B8" s="6" t="s">
        <v>33</v>
      </c>
      <c r="C8" s="6" t="s">
        <v>34</v>
      </c>
      <c r="D8" s="6">
        <v>30</v>
      </c>
      <c r="E8" s="6" t="s">
        <v>17</v>
      </c>
    </row>
    <row r="9" spans="1:5">
      <c r="A9" s="6" t="s">
        <v>35</v>
      </c>
      <c r="B9" s="6" t="s">
        <v>36</v>
      </c>
      <c r="C9" s="6" t="s">
        <v>37</v>
      </c>
      <c r="D9" s="6">
        <v>90</v>
      </c>
      <c r="E9" s="6" t="s">
        <v>21</v>
      </c>
    </row>
    <row r="10" spans="1:5">
      <c r="A10" s="6" t="s">
        <v>38</v>
      </c>
      <c r="B10" s="6" t="s">
        <v>39</v>
      </c>
      <c r="C10" s="6" t="s">
        <v>40</v>
      </c>
      <c r="D10" s="6">
        <v>500</v>
      </c>
      <c r="E10" s="6" t="s">
        <v>13</v>
      </c>
    </row>
    <row r="11" spans="1:5">
      <c r="A11" s="6" t="s">
        <v>41</v>
      </c>
      <c r="B11" s="6" t="s">
        <v>42</v>
      </c>
      <c r="C11" s="6" t="s">
        <v>43</v>
      </c>
      <c r="D11" s="6">
        <v>130</v>
      </c>
      <c r="E11" s="6" t="s">
        <v>28</v>
      </c>
    </row>
    <row r="12" spans="1:5">
      <c r="A12" s="6" t="s">
        <v>44</v>
      </c>
      <c r="B12" s="6" t="s">
        <v>11</v>
      </c>
      <c r="C12" s="6" t="s">
        <v>45</v>
      </c>
      <c r="D12" s="6">
        <v>950</v>
      </c>
      <c r="E12" s="6" t="s">
        <v>13</v>
      </c>
    </row>
    <row r="13" spans="1:5">
      <c r="A13" s="6" t="s">
        <v>46</v>
      </c>
      <c r="B13" s="6" t="s">
        <v>15</v>
      </c>
      <c r="C13" s="6" t="s">
        <v>34</v>
      </c>
      <c r="D13" s="6">
        <v>90</v>
      </c>
      <c r="E13" s="6" t="s">
        <v>17</v>
      </c>
    </row>
    <row r="14" spans="1:5">
      <c r="A14" s="6" t="s">
        <v>47</v>
      </c>
      <c r="B14" s="6" t="s">
        <v>19</v>
      </c>
      <c r="C14" s="6" t="s">
        <v>48</v>
      </c>
      <c r="D14" s="6">
        <v>120</v>
      </c>
      <c r="E14" s="6" t="s">
        <v>21</v>
      </c>
    </row>
    <row r="15" spans="1:5">
      <c r="A15" s="6" t="s">
        <v>49</v>
      </c>
      <c r="B15" s="6" t="s">
        <v>50</v>
      </c>
      <c r="C15" s="6" t="s">
        <v>51</v>
      </c>
      <c r="D15" s="6">
        <v>150</v>
      </c>
      <c r="E15" s="6" t="s">
        <v>13</v>
      </c>
    </row>
    <row r="16" spans="1:5">
      <c r="A16" s="6" t="s">
        <v>52</v>
      </c>
      <c r="B16" s="6" t="s">
        <v>30</v>
      </c>
      <c r="C16" s="6" t="s">
        <v>53</v>
      </c>
      <c r="D16" s="6">
        <v>250</v>
      </c>
      <c r="E16" s="6" t="s">
        <v>13</v>
      </c>
    </row>
    <row r="17" spans="1:5">
      <c r="A17" s="6" t="s">
        <v>54</v>
      </c>
      <c r="B17" s="6" t="s">
        <v>55</v>
      </c>
      <c r="C17" s="6" t="s">
        <v>56</v>
      </c>
      <c r="D17" s="6">
        <v>50</v>
      </c>
      <c r="E17" s="6" t="s">
        <v>57</v>
      </c>
    </row>
    <row r="18" spans="1:5">
      <c r="A18" s="6" t="s">
        <v>58</v>
      </c>
      <c r="B18" s="6" t="s">
        <v>50</v>
      </c>
      <c r="C18" s="6" t="s">
        <v>59</v>
      </c>
      <c r="D18" s="6">
        <v>160</v>
      </c>
      <c r="E18" s="6" t="s">
        <v>13</v>
      </c>
    </row>
    <row r="19" spans="1:5">
      <c r="A19" s="6" t="s">
        <v>60</v>
      </c>
      <c r="B19" s="6" t="s">
        <v>11</v>
      </c>
      <c r="C19" s="6" t="s">
        <v>61</v>
      </c>
      <c r="D19" s="6">
        <v>980</v>
      </c>
      <c r="E19" s="6" t="s">
        <v>13</v>
      </c>
    </row>
    <row r="20" spans="1:5">
      <c r="A20" s="6" t="s">
        <v>62</v>
      </c>
      <c r="B20" s="6" t="s">
        <v>63</v>
      </c>
      <c r="C20" s="6" t="s">
        <v>64</v>
      </c>
      <c r="D20" s="6">
        <v>150</v>
      </c>
      <c r="E20" s="6" t="s">
        <v>17</v>
      </c>
    </row>
    <row r="21" spans="1:5">
      <c r="A21" s="6" t="s">
        <v>65</v>
      </c>
      <c r="B21" s="6" t="s">
        <v>66</v>
      </c>
      <c r="C21" s="6" t="s">
        <v>67</v>
      </c>
      <c r="D21" s="6">
        <v>200</v>
      </c>
      <c r="E21" s="6" t="s">
        <v>28</v>
      </c>
    </row>
    <row r="22" spans="1:5">
      <c r="A22" s="6" t="s">
        <v>68</v>
      </c>
      <c r="B22" s="6" t="s">
        <v>69</v>
      </c>
      <c r="C22" s="6" t="s">
        <v>70</v>
      </c>
      <c r="D22" s="6">
        <v>700</v>
      </c>
      <c r="E22" s="6" t="s">
        <v>13</v>
      </c>
    </row>
    <row r="23" spans="1:5">
      <c r="A23" s="6" t="s">
        <v>71</v>
      </c>
      <c r="B23" s="6" t="s">
        <v>72</v>
      </c>
      <c r="C23" s="6" t="s">
        <v>73</v>
      </c>
      <c r="D23" s="6">
        <v>80</v>
      </c>
      <c r="E23" s="6" t="s">
        <v>21</v>
      </c>
    </row>
    <row r="24" spans="1:5">
      <c r="A24" s="6" t="s">
        <v>74</v>
      </c>
      <c r="B24" s="6" t="s">
        <v>75</v>
      </c>
      <c r="C24" s="6" t="s">
        <v>76</v>
      </c>
      <c r="D24" s="6">
        <v>150</v>
      </c>
      <c r="E24" s="6" t="s">
        <v>13</v>
      </c>
    </row>
    <row r="25" spans="1:5">
      <c r="A25" s="6" t="s">
        <v>54</v>
      </c>
      <c r="B25" s="6" t="s">
        <v>55</v>
      </c>
      <c r="C25" s="6" t="s">
        <v>56</v>
      </c>
      <c r="D25" s="6">
        <v>50</v>
      </c>
      <c r="E25" s="6" t="s">
        <v>57</v>
      </c>
    </row>
    <row r="26" spans="1:5">
      <c r="A26" s="6" t="s">
        <v>77</v>
      </c>
      <c r="B26" s="6" t="s">
        <v>23</v>
      </c>
      <c r="C26" s="6" t="s">
        <v>78</v>
      </c>
      <c r="D26" s="6">
        <v>800</v>
      </c>
      <c r="E26" s="6" t="s">
        <v>13</v>
      </c>
    </row>
    <row r="27" spans="1:5">
      <c r="A27" s="6" t="s">
        <v>79</v>
      </c>
      <c r="B27" s="6" t="s">
        <v>63</v>
      </c>
      <c r="C27" s="6" t="s">
        <v>80</v>
      </c>
      <c r="D27" s="6">
        <v>130</v>
      </c>
      <c r="E27" s="6" t="s">
        <v>17</v>
      </c>
    </row>
    <row r="28" spans="1:5">
      <c r="A28" s="6" t="s">
        <v>81</v>
      </c>
      <c r="B28" s="6" t="s">
        <v>36</v>
      </c>
      <c r="C28" s="6" t="s">
        <v>82</v>
      </c>
      <c r="D28" s="6">
        <v>400</v>
      </c>
      <c r="E28" s="6" t="s">
        <v>21</v>
      </c>
    </row>
    <row r="29" spans="1:5">
      <c r="A29" s="6" t="s">
        <v>52</v>
      </c>
      <c r="B29" s="6" t="s">
        <v>30</v>
      </c>
      <c r="C29" s="6" t="s">
        <v>53</v>
      </c>
      <c r="D29" s="6">
        <v>230</v>
      </c>
      <c r="E29" s="6" t="s">
        <v>13</v>
      </c>
    </row>
    <row r="30" spans="1:5">
      <c r="A30" s="6" t="s">
        <v>83</v>
      </c>
      <c r="B30" s="6" t="s">
        <v>84</v>
      </c>
      <c r="C30" s="6" t="s">
        <v>85</v>
      </c>
      <c r="D30" s="6">
        <v>60</v>
      </c>
      <c r="E30" s="6" t="s">
        <v>17</v>
      </c>
    </row>
    <row r="31" spans="1:5">
      <c r="A31" s="6" t="s">
        <v>86</v>
      </c>
      <c r="B31" s="6" t="s">
        <v>87</v>
      </c>
      <c r="C31" s="6" t="s">
        <v>88</v>
      </c>
      <c r="D31" s="6">
        <v>40</v>
      </c>
      <c r="E31" s="6" t="s">
        <v>21</v>
      </c>
    </row>
    <row r="32" spans="1:5">
      <c r="A32" s="6" t="s">
        <v>89</v>
      </c>
      <c r="B32" s="6" t="s">
        <v>75</v>
      </c>
      <c r="C32" s="6" t="s">
        <v>90</v>
      </c>
      <c r="D32" s="6">
        <v>130</v>
      </c>
      <c r="E32" s="6" t="s">
        <v>13</v>
      </c>
    </row>
    <row r="33" spans="1:5">
      <c r="A33" s="6" t="s">
        <v>91</v>
      </c>
      <c r="B33" s="6" t="s">
        <v>92</v>
      </c>
      <c r="C33" s="6" t="s">
        <v>93</v>
      </c>
      <c r="D33" s="6">
        <v>50</v>
      </c>
      <c r="E33" s="6" t="s">
        <v>17</v>
      </c>
    </row>
    <row r="34" spans="1:5">
      <c r="A34" s="6" t="s">
        <v>44</v>
      </c>
      <c r="B34" s="6" t="s">
        <v>11</v>
      </c>
      <c r="C34" s="6" t="s">
        <v>45</v>
      </c>
      <c r="D34" s="6">
        <v>950</v>
      </c>
      <c r="E34" s="6" t="s">
        <v>13</v>
      </c>
    </row>
    <row r="35" spans="1:5">
      <c r="A35" s="6" t="s">
        <v>94</v>
      </c>
      <c r="B35" s="6" t="s">
        <v>95</v>
      </c>
      <c r="C35" s="6" t="s">
        <v>96</v>
      </c>
      <c r="D35" s="6">
        <v>100</v>
      </c>
      <c r="E35" s="6" t="s">
        <v>57</v>
      </c>
    </row>
    <row r="37" spans="1:5">
      <c r="C37" s="10" t="s">
        <v>105</v>
      </c>
      <c r="D37" s="10">
        <f>MIN(D2:D35)</f>
        <v>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F0C82-9D85-4ED0-8A3B-1E4A875701E1}">
  <dimension ref="A1:E37"/>
  <sheetViews>
    <sheetView topLeftCell="A30" workbookViewId="0">
      <selection activeCell="C37" sqref="C37:D37"/>
    </sheetView>
  </sheetViews>
  <sheetFormatPr defaultRowHeight="15"/>
  <cols>
    <col min="1" max="1" width="12.5703125" bestFit="1" customWidth="1"/>
    <col min="2" max="2" width="15.7109375" bestFit="1" customWidth="1"/>
    <col min="3" max="3" width="14.140625" bestFit="1" customWidth="1"/>
    <col min="4" max="4" width="10.42578125" bestFit="1" customWidth="1"/>
    <col min="5" max="5" width="11.140625" bestFit="1" customWidth="1"/>
  </cols>
  <sheetData>
    <row r="1" spans="1:5">
      <c r="A1" s="7" t="s">
        <v>0</v>
      </c>
      <c r="B1" s="7" t="s">
        <v>4</v>
      </c>
      <c r="C1" s="7" t="s">
        <v>5</v>
      </c>
      <c r="D1" s="7" t="s">
        <v>6</v>
      </c>
      <c r="E1" s="7" t="s">
        <v>9</v>
      </c>
    </row>
    <row r="2" spans="1:5">
      <c r="A2" s="6" t="s">
        <v>10</v>
      </c>
      <c r="B2" s="6" t="s">
        <v>11</v>
      </c>
      <c r="C2" s="6" t="s">
        <v>12</v>
      </c>
      <c r="D2" s="6">
        <v>1000</v>
      </c>
      <c r="E2" s="6" t="s">
        <v>13</v>
      </c>
    </row>
    <row r="3" spans="1:5">
      <c r="A3" s="6" t="s">
        <v>14</v>
      </c>
      <c r="B3" s="6" t="s">
        <v>15</v>
      </c>
      <c r="C3" s="6" t="s">
        <v>16</v>
      </c>
      <c r="D3" s="6">
        <v>80</v>
      </c>
      <c r="E3" s="6" t="s">
        <v>17</v>
      </c>
    </row>
    <row r="4" spans="1:5">
      <c r="A4" s="6" t="s">
        <v>18</v>
      </c>
      <c r="B4" s="6" t="s">
        <v>19</v>
      </c>
      <c r="C4" s="6" t="s">
        <v>20</v>
      </c>
      <c r="D4" s="6">
        <v>130</v>
      </c>
      <c r="E4" s="6" t="s">
        <v>21</v>
      </c>
    </row>
    <row r="5" spans="1:5">
      <c r="A5" s="6" t="s">
        <v>22</v>
      </c>
      <c r="B5" s="6" t="s">
        <v>23</v>
      </c>
      <c r="C5" s="6" t="s">
        <v>24</v>
      </c>
      <c r="D5" s="6">
        <v>900</v>
      </c>
      <c r="E5" s="6" t="s">
        <v>13</v>
      </c>
    </row>
    <row r="6" spans="1:5">
      <c r="A6" s="6" t="s">
        <v>25</v>
      </c>
      <c r="B6" s="6" t="s">
        <v>26</v>
      </c>
      <c r="C6" s="6" t="s">
        <v>27</v>
      </c>
      <c r="D6" s="6">
        <v>70</v>
      </c>
      <c r="E6" s="6" t="s">
        <v>28</v>
      </c>
    </row>
    <row r="7" spans="1:5">
      <c r="A7" s="6" t="s">
        <v>29</v>
      </c>
      <c r="B7" s="6" t="s">
        <v>30</v>
      </c>
      <c r="C7" s="6" t="s">
        <v>31</v>
      </c>
      <c r="D7" s="6">
        <v>200</v>
      </c>
      <c r="E7" s="6" t="s">
        <v>13</v>
      </c>
    </row>
    <row r="8" spans="1:5">
      <c r="A8" s="6" t="s">
        <v>32</v>
      </c>
      <c r="B8" s="6" t="s">
        <v>33</v>
      </c>
      <c r="C8" s="6" t="s">
        <v>34</v>
      </c>
      <c r="D8" s="6">
        <v>30</v>
      </c>
      <c r="E8" s="6" t="s">
        <v>17</v>
      </c>
    </row>
    <row r="9" spans="1:5">
      <c r="A9" s="6" t="s">
        <v>35</v>
      </c>
      <c r="B9" s="6" t="s">
        <v>36</v>
      </c>
      <c r="C9" s="6" t="s">
        <v>37</v>
      </c>
      <c r="D9" s="6">
        <v>90</v>
      </c>
      <c r="E9" s="6" t="s">
        <v>21</v>
      </c>
    </row>
    <row r="10" spans="1:5">
      <c r="A10" s="6" t="s">
        <v>38</v>
      </c>
      <c r="B10" s="6" t="s">
        <v>39</v>
      </c>
      <c r="C10" s="6" t="s">
        <v>40</v>
      </c>
      <c r="D10" s="6">
        <v>500</v>
      </c>
      <c r="E10" s="6" t="s">
        <v>13</v>
      </c>
    </row>
    <row r="11" spans="1:5">
      <c r="A11" s="6" t="s">
        <v>41</v>
      </c>
      <c r="B11" s="6" t="s">
        <v>42</v>
      </c>
      <c r="C11" s="6" t="s">
        <v>43</v>
      </c>
      <c r="D11" s="6">
        <v>130</v>
      </c>
      <c r="E11" s="6" t="s">
        <v>28</v>
      </c>
    </row>
    <row r="12" spans="1:5">
      <c r="A12" s="6" t="s">
        <v>44</v>
      </c>
      <c r="B12" s="6" t="s">
        <v>11</v>
      </c>
      <c r="C12" s="6" t="s">
        <v>45</v>
      </c>
      <c r="D12" s="6">
        <v>950</v>
      </c>
      <c r="E12" s="6" t="s">
        <v>13</v>
      </c>
    </row>
    <row r="13" spans="1:5">
      <c r="A13" s="6" t="s">
        <v>46</v>
      </c>
      <c r="B13" s="6" t="s">
        <v>15</v>
      </c>
      <c r="C13" s="6" t="s">
        <v>34</v>
      </c>
      <c r="D13" s="6">
        <v>90</v>
      </c>
      <c r="E13" s="6" t="s">
        <v>17</v>
      </c>
    </row>
    <row r="14" spans="1:5">
      <c r="A14" s="6" t="s">
        <v>47</v>
      </c>
      <c r="B14" s="6" t="s">
        <v>19</v>
      </c>
      <c r="C14" s="6" t="s">
        <v>48</v>
      </c>
      <c r="D14" s="6">
        <v>120</v>
      </c>
      <c r="E14" s="6" t="s">
        <v>21</v>
      </c>
    </row>
    <row r="15" spans="1:5">
      <c r="A15" s="6" t="s">
        <v>49</v>
      </c>
      <c r="B15" s="6" t="s">
        <v>50</v>
      </c>
      <c r="C15" s="6" t="s">
        <v>51</v>
      </c>
      <c r="D15" s="6">
        <v>150</v>
      </c>
      <c r="E15" s="6" t="s">
        <v>13</v>
      </c>
    </row>
    <row r="16" spans="1:5">
      <c r="A16" s="6" t="s">
        <v>52</v>
      </c>
      <c r="B16" s="6" t="s">
        <v>30</v>
      </c>
      <c r="C16" s="6" t="s">
        <v>53</v>
      </c>
      <c r="D16" s="6">
        <v>250</v>
      </c>
      <c r="E16" s="6" t="s">
        <v>13</v>
      </c>
    </row>
    <row r="17" spans="1:5">
      <c r="A17" s="6" t="s">
        <v>54</v>
      </c>
      <c r="B17" s="6" t="s">
        <v>55</v>
      </c>
      <c r="C17" s="6" t="s">
        <v>56</v>
      </c>
      <c r="D17" s="6">
        <v>50</v>
      </c>
      <c r="E17" s="6" t="s">
        <v>57</v>
      </c>
    </row>
    <row r="18" spans="1:5">
      <c r="A18" s="6" t="s">
        <v>58</v>
      </c>
      <c r="B18" s="6" t="s">
        <v>50</v>
      </c>
      <c r="C18" s="6" t="s">
        <v>59</v>
      </c>
      <c r="D18" s="6">
        <v>160</v>
      </c>
      <c r="E18" s="6" t="s">
        <v>13</v>
      </c>
    </row>
    <row r="19" spans="1:5">
      <c r="A19" s="6" t="s">
        <v>60</v>
      </c>
      <c r="B19" s="6" t="s">
        <v>11</v>
      </c>
      <c r="C19" s="6" t="s">
        <v>61</v>
      </c>
      <c r="D19" s="6">
        <v>980</v>
      </c>
      <c r="E19" s="6" t="s">
        <v>13</v>
      </c>
    </row>
    <row r="20" spans="1:5">
      <c r="A20" s="6" t="s">
        <v>62</v>
      </c>
      <c r="B20" s="6" t="s">
        <v>63</v>
      </c>
      <c r="C20" s="6" t="s">
        <v>64</v>
      </c>
      <c r="D20" s="6">
        <v>150</v>
      </c>
      <c r="E20" s="6" t="s">
        <v>17</v>
      </c>
    </row>
    <row r="21" spans="1:5">
      <c r="A21" s="6" t="s">
        <v>65</v>
      </c>
      <c r="B21" s="6" t="s">
        <v>66</v>
      </c>
      <c r="C21" s="6" t="s">
        <v>67</v>
      </c>
      <c r="D21" s="6">
        <v>200</v>
      </c>
      <c r="E21" s="6" t="s">
        <v>28</v>
      </c>
    </row>
    <row r="22" spans="1:5">
      <c r="A22" s="6" t="s">
        <v>68</v>
      </c>
      <c r="B22" s="6" t="s">
        <v>69</v>
      </c>
      <c r="C22" s="6" t="s">
        <v>70</v>
      </c>
      <c r="D22" s="6">
        <v>700</v>
      </c>
      <c r="E22" s="6" t="s">
        <v>13</v>
      </c>
    </row>
    <row r="23" spans="1:5">
      <c r="A23" s="6" t="s">
        <v>71</v>
      </c>
      <c r="B23" s="6" t="s">
        <v>72</v>
      </c>
      <c r="C23" s="6" t="s">
        <v>73</v>
      </c>
      <c r="D23" s="6">
        <v>80</v>
      </c>
      <c r="E23" s="6" t="s">
        <v>21</v>
      </c>
    </row>
    <row r="24" spans="1:5">
      <c r="A24" s="6" t="s">
        <v>74</v>
      </c>
      <c r="B24" s="6" t="s">
        <v>75</v>
      </c>
      <c r="C24" s="6" t="s">
        <v>76</v>
      </c>
      <c r="D24" s="6">
        <v>150</v>
      </c>
      <c r="E24" s="6" t="s">
        <v>13</v>
      </c>
    </row>
    <row r="25" spans="1:5">
      <c r="A25" s="6" t="s">
        <v>54</v>
      </c>
      <c r="B25" s="6" t="s">
        <v>55</v>
      </c>
      <c r="C25" s="6" t="s">
        <v>56</v>
      </c>
      <c r="D25" s="6">
        <v>50</v>
      </c>
      <c r="E25" s="6" t="s">
        <v>57</v>
      </c>
    </row>
    <row r="26" spans="1:5">
      <c r="A26" s="6" t="s">
        <v>77</v>
      </c>
      <c r="B26" s="6" t="s">
        <v>23</v>
      </c>
      <c r="C26" s="6" t="s">
        <v>78</v>
      </c>
      <c r="D26" s="6">
        <v>800</v>
      </c>
      <c r="E26" s="6" t="s">
        <v>13</v>
      </c>
    </row>
    <row r="27" spans="1:5">
      <c r="A27" s="6" t="s">
        <v>79</v>
      </c>
      <c r="B27" s="6" t="s">
        <v>63</v>
      </c>
      <c r="C27" s="6" t="s">
        <v>80</v>
      </c>
      <c r="D27" s="6">
        <v>130</v>
      </c>
      <c r="E27" s="6" t="s">
        <v>17</v>
      </c>
    </row>
    <row r="28" spans="1:5">
      <c r="A28" s="6" t="s">
        <v>81</v>
      </c>
      <c r="B28" s="6" t="s">
        <v>36</v>
      </c>
      <c r="C28" s="6" t="s">
        <v>82</v>
      </c>
      <c r="D28" s="6">
        <v>400</v>
      </c>
      <c r="E28" s="6" t="s">
        <v>21</v>
      </c>
    </row>
    <row r="29" spans="1:5">
      <c r="A29" s="6" t="s">
        <v>52</v>
      </c>
      <c r="B29" s="6" t="s">
        <v>30</v>
      </c>
      <c r="C29" s="6" t="s">
        <v>53</v>
      </c>
      <c r="D29" s="6">
        <v>230</v>
      </c>
      <c r="E29" s="6" t="s">
        <v>13</v>
      </c>
    </row>
    <row r="30" spans="1:5">
      <c r="A30" s="6" t="s">
        <v>83</v>
      </c>
      <c r="B30" s="6" t="s">
        <v>84</v>
      </c>
      <c r="C30" s="6" t="s">
        <v>85</v>
      </c>
      <c r="D30" s="6">
        <v>60</v>
      </c>
      <c r="E30" s="6" t="s">
        <v>17</v>
      </c>
    </row>
    <row r="31" spans="1:5">
      <c r="A31" s="6" t="s">
        <v>86</v>
      </c>
      <c r="B31" s="6" t="s">
        <v>87</v>
      </c>
      <c r="C31" s="6" t="s">
        <v>88</v>
      </c>
      <c r="D31" s="6">
        <v>40</v>
      </c>
      <c r="E31" s="6" t="s">
        <v>21</v>
      </c>
    </row>
    <row r="32" spans="1:5">
      <c r="A32" s="6" t="s">
        <v>89</v>
      </c>
      <c r="B32" s="6" t="s">
        <v>75</v>
      </c>
      <c r="C32" s="6" t="s">
        <v>90</v>
      </c>
      <c r="D32" s="6">
        <v>130</v>
      </c>
      <c r="E32" s="6" t="s">
        <v>13</v>
      </c>
    </row>
    <row r="33" spans="1:5">
      <c r="A33" s="6" t="s">
        <v>91</v>
      </c>
      <c r="B33" s="6" t="s">
        <v>92</v>
      </c>
      <c r="C33" s="6" t="s">
        <v>93</v>
      </c>
      <c r="D33" s="6">
        <v>50</v>
      </c>
      <c r="E33" s="6" t="s">
        <v>17</v>
      </c>
    </row>
    <row r="34" spans="1:5">
      <c r="A34" s="6" t="s">
        <v>44</v>
      </c>
      <c r="B34" s="6" t="s">
        <v>11</v>
      </c>
      <c r="C34" s="6" t="s">
        <v>45</v>
      </c>
      <c r="D34" s="6">
        <v>950</v>
      </c>
      <c r="E34" s="6" t="s">
        <v>13</v>
      </c>
    </row>
    <row r="35" spans="1:5">
      <c r="A35" s="6" t="s">
        <v>94</v>
      </c>
      <c r="B35" s="6" t="s">
        <v>95</v>
      </c>
      <c r="C35" s="6" t="s">
        <v>96</v>
      </c>
      <c r="D35" s="6">
        <v>100</v>
      </c>
      <c r="E35" s="6" t="s">
        <v>57</v>
      </c>
    </row>
    <row r="37" spans="1:5">
      <c r="C37" s="8" t="s">
        <v>106</v>
      </c>
      <c r="D37" s="8">
        <f>MAX(D2:D35)</f>
        <v>1000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375BF-9444-40E9-B15F-8394302A0698}">
  <dimension ref="A1:E38"/>
  <sheetViews>
    <sheetView topLeftCell="A22" workbookViewId="0">
      <selection activeCell="C38" sqref="C38:D38"/>
    </sheetView>
  </sheetViews>
  <sheetFormatPr defaultRowHeight="15"/>
  <cols>
    <col min="1" max="1" width="12.5703125" bestFit="1" customWidth="1"/>
    <col min="2" max="2" width="15.7109375" bestFit="1" customWidth="1"/>
    <col min="3" max="3" width="14.140625" bestFit="1" customWidth="1"/>
    <col min="4" max="4" width="10.42578125" bestFit="1" customWidth="1"/>
    <col min="5" max="5" width="11.140625" bestFit="1" customWidth="1"/>
  </cols>
  <sheetData>
    <row r="1" spans="1:5">
      <c r="A1" s="7" t="s">
        <v>0</v>
      </c>
      <c r="B1" s="7" t="s">
        <v>4</v>
      </c>
      <c r="C1" s="7" t="s">
        <v>5</v>
      </c>
      <c r="D1" s="7" t="s">
        <v>6</v>
      </c>
      <c r="E1" s="7" t="s">
        <v>9</v>
      </c>
    </row>
    <row r="2" spans="1:5">
      <c r="A2" s="6" t="s">
        <v>10</v>
      </c>
      <c r="B2" s="6" t="s">
        <v>11</v>
      </c>
      <c r="C2" s="6" t="s">
        <v>12</v>
      </c>
      <c r="D2" s="6">
        <v>1000</v>
      </c>
      <c r="E2" s="6" t="s">
        <v>13</v>
      </c>
    </row>
    <row r="3" spans="1:5">
      <c r="A3" s="6" t="s">
        <v>14</v>
      </c>
      <c r="B3" s="6" t="s">
        <v>15</v>
      </c>
      <c r="C3" s="6" t="s">
        <v>16</v>
      </c>
      <c r="D3" s="6">
        <v>80</v>
      </c>
      <c r="E3" s="6" t="s">
        <v>17</v>
      </c>
    </row>
    <row r="4" spans="1:5">
      <c r="A4" s="6" t="s">
        <v>18</v>
      </c>
      <c r="B4" s="6" t="s">
        <v>19</v>
      </c>
      <c r="C4" s="6" t="s">
        <v>20</v>
      </c>
      <c r="D4" s="6">
        <v>130</v>
      </c>
      <c r="E4" s="6" t="s">
        <v>21</v>
      </c>
    </row>
    <row r="5" spans="1:5">
      <c r="A5" s="6" t="s">
        <v>22</v>
      </c>
      <c r="B5" s="6" t="s">
        <v>23</v>
      </c>
      <c r="C5" s="6" t="s">
        <v>24</v>
      </c>
      <c r="D5" s="6">
        <v>900</v>
      </c>
      <c r="E5" s="6" t="s">
        <v>13</v>
      </c>
    </row>
    <row r="6" spans="1:5">
      <c r="A6" s="6" t="s">
        <v>25</v>
      </c>
      <c r="B6" s="6" t="s">
        <v>26</v>
      </c>
      <c r="C6" s="6" t="s">
        <v>27</v>
      </c>
      <c r="D6" s="6">
        <v>70</v>
      </c>
      <c r="E6" s="6" t="s">
        <v>28</v>
      </c>
    </row>
    <row r="7" spans="1:5">
      <c r="A7" s="6" t="s">
        <v>29</v>
      </c>
      <c r="B7" s="6" t="s">
        <v>30</v>
      </c>
      <c r="C7" s="6" t="s">
        <v>31</v>
      </c>
      <c r="D7" s="6">
        <v>200</v>
      </c>
      <c r="E7" s="6" t="s">
        <v>13</v>
      </c>
    </row>
    <row r="8" spans="1:5">
      <c r="A8" s="6" t="s">
        <v>32</v>
      </c>
      <c r="B8" s="6" t="s">
        <v>33</v>
      </c>
      <c r="C8" s="6" t="s">
        <v>34</v>
      </c>
      <c r="D8" s="6">
        <v>30</v>
      </c>
      <c r="E8" s="6" t="s">
        <v>17</v>
      </c>
    </row>
    <row r="9" spans="1:5">
      <c r="A9" s="6" t="s">
        <v>35</v>
      </c>
      <c r="B9" s="6" t="s">
        <v>36</v>
      </c>
      <c r="C9" s="6" t="s">
        <v>37</v>
      </c>
      <c r="D9" s="6">
        <v>90</v>
      </c>
      <c r="E9" s="6" t="s">
        <v>21</v>
      </c>
    </row>
    <row r="10" spans="1:5">
      <c r="A10" s="6" t="s">
        <v>38</v>
      </c>
      <c r="B10" s="6" t="s">
        <v>39</v>
      </c>
      <c r="C10" s="6" t="s">
        <v>40</v>
      </c>
      <c r="D10" s="6">
        <v>500</v>
      </c>
      <c r="E10" s="6" t="s">
        <v>13</v>
      </c>
    </row>
    <row r="11" spans="1:5">
      <c r="A11" s="6" t="s">
        <v>41</v>
      </c>
      <c r="B11" s="6" t="s">
        <v>42</v>
      </c>
      <c r="C11" s="6" t="s">
        <v>43</v>
      </c>
      <c r="D11" s="6">
        <v>130</v>
      </c>
      <c r="E11" s="6" t="s">
        <v>28</v>
      </c>
    </row>
    <row r="12" spans="1:5">
      <c r="A12" s="6" t="s">
        <v>44</v>
      </c>
      <c r="B12" s="6" t="s">
        <v>11</v>
      </c>
      <c r="C12" s="6" t="s">
        <v>45</v>
      </c>
      <c r="D12" s="6">
        <v>950</v>
      </c>
      <c r="E12" s="6" t="s">
        <v>13</v>
      </c>
    </row>
    <row r="13" spans="1:5">
      <c r="A13" s="6" t="s">
        <v>46</v>
      </c>
      <c r="B13" s="6" t="s">
        <v>15</v>
      </c>
      <c r="C13" s="6" t="s">
        <v>34</v>
      </c>
      <c r="D13" s="6">
        <v>90</v>
      </c>
      <c r="E13" s="6" t="s">
        <v>17</v>
      </c>
    </row>
    <row r="14" spans="1:5">
      <c r="A14" s="6" t="s">
        <v>47</v>
      </c>
      <c r="B14" s="6" t="s">
        <v>19</v>
      </c>
      <c r="C14" s="6" t="s">
        <v>48</v>
      </c>
      <c r="D14" s="6">
        <v>120</v>
      </c>
      <c r="E14" s="6" t="s">
        <v>21</v>
      </c>
    </row>
    <row r="15" spans="1:5">
      <c r="A15" s="6" t="s">
        <v>49</v>
      </c>
      <c r="B15" s="6" t="s">
        <v>50</v>
      </c>
      <c r="C15" s="6" t="s">
        <v>51</v>
      </c>
      <c r="D15" s="6">
        <v>150</v>
      </c>
      <c r="E15" s="6" t="s">
        <v>13</v>
      </c>
    </row>
    <row r="16" spans="1:5">
      <c r="A16" s="6" t="s">
        <v>52</v>
      </c>
      <c r="B16" s="6" t="s">
        <v>30</v>
      </c>
      <c r="C16" s="6" t="s">
        <v>53</v>
      </c>
      <c r="D16" s="6">
        <v>250</v>
      </c>
      <c r="E16" s="6" t="s">
        <v>13</v>
      </c>
    </row>
    <row r="17" spans="1:5">
      <c r="A17" s="6" t="s">
        <v>54</v>
      </c>
      <c r="B17" s="6" t="s">
        <v>55</v>
      </c>
      <c r="C17" s="6" t="s">
        <v>56</v>
      </c>
      <c r="D17" s="6">
        <v>50</v>
      </c>
      <c r="E17" s="6" t="s">
        <v>57</v>
      </c>
    </row>
    <row r="18" spans="1:5">
      <c r="A18" s="6" t="s">
        <v>58</v>
      </c>
      <c r="B18" s="6" t="s">
        <v>50</v>
      </c>
      <c r="C18" s="6" t="s">
        <v>59</v>
      </c>
      <c r="D18" s="6">
        <v>160</v>
      </c>
      <c r="E18" s="6" t="s">
        <v>13</v>
      </c>
    </row>
    <row r="19" spans="1:5">
      <c r="A19" s="6" t="s">
        <v>60</v>
      </c>
      <c r="B19" s="6" t="s">
        <v>11</v>
      </c>
      <c r="C19" s="6" t="s">
        <v>61</v>
      </c>
      <c r="D19" s="6">
        <v>980</v>
      </c>
      <c r="E19" s="6" t="s">
        <v>13</v>
      </c>
    </row>
    <row r="20" spans="1:5">
      <c r="A20" s="6" t="s">
        <v>62</v>
      </c>
      <c r="B20" s="6" t="s">
        <v>63</v>
      </c>
      <c r="C20" s="6" t="s">
        <v>64</v>
      </c>
      <c r="D20" s="6">
        <v>150</v>
      </c>
      <c r="E20" s="6" t="s">
        <v>17</v>
      </c>
    </row>
    <row r="21" spans="1:5">
      <c r="A21" s="6" t="s">
        <v>65</v>
      </c>
      <c r="B21" s="6" t="s">
        <v>66</v>
      </c>
      <c r="C21" s="6" t="s">
        <v>67</v>
      </c>
      <c r="D21" s="6">
        <v>200</v>
      </c>
      <c r="E21" s="6" t="s">
        <v>28</v>
      </c>
    </row>
    <row r="22" spans="1:5">
      <c r="A22" s="6" t="s">
        <v>68</v>
      </c>
      <c r="B22" s="6" t="s">
        <v>69</v>
      </c>
      <c r="C22" s="6" t="s">
        <v>70</v>
      </c>
      <c r="D22" s="6">
        <v>700</v>
      </c>
      <c r="E22" s="6" t="s">
        <v>13</v>
      </c>
    </row>
    <row r="23" spans="1:5">
      <c r="A23" s="6" t="s">
        <v>71</v>
      </c>
      <c r="B23" s="6" t="s">
        <v>72</v>
      </c>
      <c r="C23" s="6" t="s">
        <v>73</v>
      </c>
      <c r="D23" s="6">
        <v>80</v>
      </c>
      <c r="E23" s="6" t="s">
        <v>21</v>
      </c>
    </row>
    <row r="24" spans="1:5">
      <c r="A24" s="6" t="s">
        <v>74</v>
      </c>
      <c r="B24" s="6" t="s">
        <v>75</v>
      </c>
      <c r="C24" s="6" t="s">
        <v>76</v>
      </c>
      <c r="D24" s="6">
        <v>150</v>
      </c>
      <c r="E24" s="6" t="s">
        <v>13</v>
      </c>
    </row>
    <row r="25" spans="1:5">
      <c r="A25" s="6" t="s">
        <v>54</v>
      </c>
      <c r="B25" s="6" t="s">
        <v>55</v>
      </c>
      <c r="C25" s="6" t="s">
        <v>56</v>
      </c>
      <c r="D25" s="6">
        <v>50</v>
      </c>
      <c r="E25" s="6" t="s">
        <v>57</v>
      </c>
    </row>
    <row r="26" spans="1:5">
      <c r="A26" s="6" t="s">
        <v>77</v>
      </c>
      <c r="B26" s="6" t="s">
        <v>23</v>
      </c>
      <c r="C26" s="6" t="s">
        <v>78</v>
      </c>
      <c r="D26" s="6">
        <v>800</v>
      </c>
      <c r="E26" s="6" t="s">
        <v>13</v>
      </c>
    </row>
    <row r="27" spans="1:5">
      <c r="A27" s="6" t="s">
        <v>79</v>
      </c>
      <c r="B27" s="6" t="s">
        <v>63</v>
      </c>
      <c r="C27" s="6" t="s">
        <v>80</v>
      </c>
      <c r="D27" s="6">
        <v>130</v>
      </c>
      <c r="E27" s="6" t="s">
        <v>17</v>
      </c>
    </row>
    <row r="28" spans="1:5">
      <c r="A28" s="6" t="s">
        <v>81</v>
      </c>
      <c r="B28" s="6" t="s">
        <v>36</v>
      </c>
      <c r="C28" s="6" t="s">
        <v>82</v>
      </c>
      <c r="D28" s="6">
        <v>400</v>
      </c>
      <c r="E28" s="6" t="s">
        <v>21</v>
      </c>
    </row>
    <row r="29" spans="1:5">
      <c r="A29" s="6" t="s">
        <v>52</v>
      </c>
      <c r="B29" s="6" t="s">
        <v>30</v>
      </c>
      <c r="C29" s="6" t="s">
        <v>53</v>
      </c>
      <c r="D29" s="6">
        <v>230</v>
      </c>
      <c r="E29" s="6" t="s">
        <v>13</v>
      </c>
    </row>
    <row r="30" spans="1:5">
      <c r="A30" s="6" t="s">
        <v>83</v>
      </c>
      <c r="B30" s="6" t="s">
        <v>84</v>
      </c>
      <c r="C30" s="6" t="s">
        <v>85</v>
      </c>
      <c r="D30" s="6">
        <v>60</v>
      </c>
      <c r="E30" s="6" t="s">
        <v>17</v>
      </c>
    </row>
    <row r="31" spans="1:5">
      <c r="A31" s="6" t="s">
        <v>86</v>
      </c>
      <c r="B31" s="6" t="s">
        <v>87</v>
      </c>
      <c r="C31" s="6" t="s">
        <v>88</v>
      </c>
      <c r="D31" s="6">
        <v>40</v>
      </c>
      <c r="E31" s="6" t="s">
        <v>21</v>
      </c>
    </row>
    <row r="32" spans="1:5">
      <c r="A32" s="6" t="s">
        <v>89</v>
      </c>
      <c r="B32" s="6" t="s">
        <v>75</v>
      </c>
      <c r="C32" s="6" t="s">
        <v>90</v>
      </c>
      <c r="D32" s="6">
        <v>130</v>
      </c>
      <c r="E32" s="6" t="s">
        <v>13</v>
      </c>
    </row>
    <row r="33" spans="1:5">
      <c r="A33" s="6" t="s">
        <v>91</v>
      </c>
      <c r="B33" s="6" t="s">
        <v>92</v>
      </c>
      <c r="C33" s="6" t="s">
        <v>93</v>
      </c>
      <c r="D33" s="6">
        <v>50</v>
      </c>
      <c r="E33" s="6" t="s">
        <v>17</v>
      </c>
    </row>
    <row r="34" spans="1:5">
      <c r="A34" s="6" t="s">
        <v>44</v>
      </c>
      <c r="B34" s="6" t="s">
        <v>11</v>
      </c>
      <c r="C34" s="6" t="s">
        <v>45</v>
      </c>
      <c r="D34" s="6">
        <v>950</v>
      </c>
      <c r="E34" s="6" t="s">
        <v>13</v>
      </c>
    </row>
    <row r="35" spans="1:5">
      <c r="A35" s="6" t="s">
        <v>94</v>
      </c>
      <c r="B35" s="6" t="s">
        <v>95</v>
      </c>
      <c r="C35" s="6" t="s">
        <v>96</v>
      </c>
      <c r="D35" s="6">
        <v>100</v>
      </c>
      <c r="E35" s="6" t="s">
        <v>57</v>
      </c>
    </row>
    <row r="38" spans="1:5">
      <c r="C38" s="10" t="s">
        <v>107</v>
      </c>
      <c r="D38" s="9">
        <f>AVERAGE(D2:D35)</f>
        <v>297.05882352941177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53C27-8D60-448E-ACF6-B119D723F72E}">
  <dimension ref="A1:E37"/>
  <sheetViews>
    <sheetView topLeftCell="A28" workbookViewId="0">
      <selection activeCell="C37" sqref="C37:D37"/>
    </sheetView>
  </sheetViews>
  <sheetFormatPr defaultRowHeight="15"/>
  <cols>
    <col min="1" max="1" width="12.5703125" bestFit="1" customWidth="1"/>
    <col min="2" max="2" width="15.7109375" bestFit="1" customWidth="1"/>
    <col min="3" max="3" width="14.140625" bestFit="1" customWidth="1"/>
    <col min="4" max="4" width="10.42578125" bestFit="1" customWidth="1"/>
    <col min="5" max="5" width="11.140625" bestFit="1" customWidth="1"/>
  </cols>
  <sheetData>
    <row r="1" spans="1:5">
      <c r="A1" s="7" t="s">
        <v>0</v>
      </c>
      <c r="B1" s="7" t="s">
        <v>4</v>
      </c>
      <c r="C1" s="7" t="s">
        <v>5</v>
      </c>
      <c r="D1" s="7" t="s">
        <v>6</v>
      </c>
      <c r="E1" s="7" t="s">
        <v>9</v>
      </c>
    </row>
    <row r="2" spans="1:5">
      <c r="A2" s="6" t="s">
        <v>10</v>
      </c>
      <c r="B2" s="6" t="s">
        <v>11</v>
      </c>
      <c r="C2" s="6" t="s">
        <v>12</v>
      </c>
      <c r="D2" s="6">
        <v>1000</v>
      </c>
      <c r="E2" s="6" t="s">
        <v>13</v>
      </c>
    </row>
    <row r="3" spans="1:5">
      <c r="A3" s="6" t="s">
        <v>14</v>
      </c>
      <c r="B3" s="6" t="s">
        <v>15</v>
      </c>
      <c r="C3" s="6" t="s">
        <v>16</v>
      </c>
      <c r="D3" s="6">
        <v>80</v>
      </c>
      <c r="E3" s="6" t="s">
        <v>17</v>
      </c>
    </row>
    <row r="4" spans="1:5">
      <c r="A4" s="6" t="s">
        <v>18</v>
      </c>
      <c r="B4" s="6" t="s">
        <v>19</v>
      </c>
      <c r="C4" s="6" t="s">
        <v>20</v>
      </c>
      <c r="D4" s="6">
        <v>130</v>
      </c>
      <c r="E4" s="6" t="s">
        <v>21</v>
      </c>
    </row>
    <row r="5" spans="1:5">
      <c r="A5" s="6" t="s">
        <v>22</v>
      </c>
      <c r="B5" s="6" t="s">
        <v>23</v>
      </c>
      <c r="C5" s="6" t="s">
        <v>24</v>
      </c>
      <c r="D5" s="6">
        <v>900</v>
      </c>
      <c r="E5" s="6" t="s">
        <v>13</v>
      </c>
    </row>
    <row r="6" spans="1:5">
      <c r="A6" s="6" t="s">
        <v>25</v>
      </c>
      <c r="B6" s="6" t="s">
        <v>26</v>
      </c>
      <c r="C6" s="6" t="s">
        <v>27</v>
      </c>
      <c r="D6" s="6">
        <v>70</v>
      </c>
      <c r="E6" s="6" t="s">
        <v>28</v>
      </c>
    </row>
    <row r="7" spans="1:5">
      <c r="A7" s="6" t="s">
        <v>29</v>
      </c>
      <c r="B7" s="6" t="s">
        <v>30</v>
      </c>
      <c r="C7" s="6" t="s">
        <v>31</v>
      </c>
      <c r="D7" s="6">
        <v>200</v>
      </c>
      <c r="E7" s="6" t="s">
        <v>13</v>
      </c>
    </row>
    <row r="8" spans="1:5">
      <c r="A8" s="6" t="s">
        <v>32</v>
      </c>
      <c r="B8" s="6" t="s">
        <v>33</v>
      </c>
      <c r="C8" s="6" t="s">
        <v>34</v>
      </c>
      <c r="D8" s="6">
        <v>30</v>
      </c>
      <c r="E8" s="6" t="s">
        <v>17</v>
      </c>
    </row>
    <row r="9" spans="1:5">
      <c r="A9" s="6" t="s">
        <v>35</v>
      </c>
      <c r="B9" s="6" t="s">
        <v>36</v>
      </c>
      <c r="C9" s="6" t="s">
        <v>37</v>
      </c>
      <c r="D9" s="6">
        <v>90</v>
      </c>
      <c r="E9" s="6" t="s">
        <v>21</v>
      </c>
    </row>
    <row r="10" spans="1:5">
      <c r="A10" s="6" t="s">
        <v>38</v>
      </c>
      <c r="B10" s="6" t="s">
        <v>39</v>
      </c>
      <c r="C10" s="6" t="s">
        <v>40</v>
      </c>
      <c r="D10" s="6">
        <v>500</v>
      </c>
      <c r="E10" s="6" t="s">
        <v>13</v>
      </c>
    </row>
    <row r="11" spans="1:5">
      <c r="A11" s="6" t="s">
        <v>41</v>
      </c>
      <c r="B11" s="6" t="s">
        <v>42</v>
      </c>
      <c r="C11" s="6" t="s">
        <v>43</v>
      </c>
      <c r="D11" s="6">
        <v>130</v>
      </c>
      <c r="E11" s="6" t="s">
        <v>28</v>
      </c>
    </row>
    <row r="12" spans="1:5">
      <c r="A12" s="6" t="s">
        <v>44</v>
      </c>
      <c r="B12" s="6" t="s">
        <v>11</v>
      </c>
      <c r="C12" s="6" t="s">
        <v>45</v>
      </c>
      <c r="D12" s="6">
        <v>950</v>
      </c>
      <c r="E12" s="6" t="s">
        <v>13</v>
      </c>
    </row>
    <row r="13" spans="1:5">
      <c r="A13" s="6" t="s">
        <v>46</v>
      </c>
      <c r="B13" s="6" t="s">
        <v>15</v>
      </c>
      <c r="C13" s="6" t="s">
        <v>34</v>
      </c>
      <c r="D13" s="6">
        <v>90</v>
      </c>
      <c r="E13" s="6" t="s">
        <v>17</v>
      </c>
    </row>
    <row r="14" spans="1:5">
      <c r="A14" s="6" t="s">
        <v>47</v>
      </c>
      <c r="B14" s="6" t="s">
        <v>19</v>
      </c>
      <c r="C14" s="6" t="s">
        <v>48</v>
      </c>
      <c r="D14" s="6">
        <v>120</v>
      </c>
      <c r="E14" s="6" t="s">
        <v>21</v>
      </c>
    </row>
    <row r="15" spans="1:5">
      <c r="A15" s="6" t="s">
        <v>49</v>
      </c>
      <c r="B15" s="6" t="s">
        <v>50</v>
      </c>
      <c r="C15" s="6" t="s">
        <v>51</v>
      </c>
      <c r="D15" s="6">
        <v>150</v>
      </c>
      <c r="E15" s="6" t="s">
        <v>13</v>
      </c>
    </row>
    <row r="16" spans="1:5">
      <c r="A16" s="6" t="s">
        <v>52</v>
      </c>
      <c r="B16" s="6" t="s">
        <v>30</v>
      </c>
      <c r="C16" s="6" t="s">
        <v>53</v>
      </c>
      <c r="D16" s="6">
        <v>250</v>
      </c>
      <c r="E16" s="6" t="s">
        <v>13</v>
      </c>
    </row>
    <row r="17" spans="1:5">
      <c r="A17" s="6" t="s">
        <v>54</v>
      </c>
      <c r="B17" s="6" t="s">
        <v>55</v>
      </c>
      <c r="C17" s="6" t="s">
        <v>56</v>
      </c>
      <c r="D17" s="6">
        <v>50</v>
      </c>
      <c r="E17" s="6" t="s">
        <v>57</v>
      </c>
    </row>
    <row r="18" spans="1:5">
      <c r="A18" s="6" t="s">
        <v>58</v>
      </c>
      <c r="B18" s="6" t="s">
        <v>50</v>
      </c>
      <c r="C18" s="6" t="s">
        <v>59</v>
      </c>
      <c r="D18" s="6">
        <v>160</v>
      </c>
      <c r="E18" s="6" t="s">
        <v>13</v>
      </c>
    </row>
    <row r="19" spans="1:5">
      <c r="A19" s="6" t="s">
        <v>60</v>
      </c>
      <c r="B19" s="6" t="s">
        <v>11</v>
      </c>
      <c r="C19" s="6" t="s">
        <v>61</v>
      </c>
      <c r="D19" s="6">
        <v>980</v>
      </c>
      <c r="E19" s="6" t="s">
        <v>13</v>
      </c>
    </row>
    <row r="20" spans="1:5">
      <c r="A20" s="6" t="s">
        <v>62</v>
      </c>
      <c r="B20" s="6" t="s">
        <v>63</v>
      </c>
      <c r="C20" s="6" t="s">
        <v>64</v>
      </c>
      <c r="D20" s="6">
        <v>150</v>
      </c>
      <c r="E20" s="6" t="s">
        <v>17</v>
      </c>
    </row>
    <row r="21" spans="1:5">
      <c r="A21" s="6" t="s">
        <v>65</v>
      </c>
      <c r="B21" s="6" t="s">
        <v>66</v>
      </c>
      <c r="C21" s="6" t="s">
        <v>67</v>
      </c>
      <c r="D21" s="6">
        <v>200</v>
      </c>
      <c r="E21" s="6" t="s">
        <v>28</v>
      </c>
    </row>
    <row r="22" spans="1:5">
      <c r="A22" s="6" t="s">
        <v>68</v>
      </c>
      <c r="B22" s="6" t="s">
        <v>69</v>
      </c>
      <c r="C22" s="6" t="s">
        <v>70</v>
      </c>
      <c r="D22" s="6">
        <v>700</v>
      </c>
      <c r="E22" s="6" t="s">
        <v>13</v>
      </c>
    </row>
    <row r="23" spans="1:5">
      <c r="A23" s="6" t="s">
        <v>71</v>
      </c>
      <c r="B23" s="6" t="s">
        <v>72</v>
      </c>
      <c r="C23" s="6" t="s">
        <v>73</v>
      </c>
      <c r="D23" s="6">
        <v>80</v>
      </c>
      <c r="E23" s="6" t="s">
        <v>21</v>
      </c>
    </row>
    <row r="24" spans="1:5">
      <c r="A24" s="6" t="s">
        <v>74</v>
      </c>
      <c r="B24" s="6" t="s">
        <v>75</v>
      </c>
      <c r="C24" s="6" t="s">
        <v>76</v>
      </c>
      <c r="D24" s="6">
        <v>150</v>
      </c>
      <c r="E24" s="6" t="s">
        <v>13</v>
      </c>
    </row>
    <row r="25" spans="1:5">
      <c r="A25" s="6" t="s">
        <v>54</v>
      </c>
      <c r="B25" s="6" t="s">
        <v>55</v>
      </c>
      <c r="C25" s="6" t="s">
        <v>56</v>
      </c>
      <c r="D25" s="6">
        <v>50</v>
      </c>
      <c r="E25" s="6" t="s">
        <v>57</v>
      </c>
    </row>
    <row r="26" spans="1:5">
      <c r="A26" s="6" t="s">
        <v>77</v>
      </c>
      <c r="B26" s="6" t="s">
        <v>23</v>
      </c>
      <c r="C26" s="6" t="s">
        <v>78</v>
      </c>
      <c r="D26" s="6">
        <v>800</v>
      </c>
      <c r="E26" s="6" t="s">
        <v>13</v>
      </c>
    </row>
    <row r="27" spans="1:5">
      <c r="A27" s="6" t="s">
        <v>79</v>
      </c>
      <c r="B27" s="6" t="s">
        <v>63</v>
      </c>
      <c r="C27" s="6" t="s">
        <v>80</v>
      </c>
      <c r="D27" s="6">
        <v>130</v>
      </c>
      <c r="E27" s="6" t="s">
        <v>17</v>
      </c>
    </row>
    <row r="28" spans="1:5">
      <c r="A28" s="6" t="s">
        <v>81</v>
      </c>
      <c r="B28" s="6" t="s">
        <v>36</v>
      </c>
      <c r="C28" s="6" t="s">
        <v>82</v>
      </c>
      <c r="D28" s="6">
        <v>400</v>
      </c>
      <c r="E28" s="6" t="s">
        <v>21</v>
      </c>
    </row>
    <row r="29" spans="1:5">
      <c r="A29" s="6" t="s">
        <v>52</v>
      </c>
      <c r="B29" s="6" t="s">
        <v>30</v>
      </c>
      <c r="C29" s="6" t="s">
        <v>53</v>
      </c>
      <c r="D29" s="6">
        <v>230</v>
      </c>
      <c r="E29" s="6" t="s">
        <v>13</v>
      </c>
    </row>
    <row r="30" spans="1:5">
      <c r="A30" s="6" t="s">
        <v>83</v>
      </c>
      <c r="B30" s="6" t="s">
        <v>84</v>
      </c>
      <c r="C30" s="6" t="s">
        <v>85</v>
      </c>
      <c r="D30" s="6">
        <v>60</v>
      </c>
      <c r="E30" s="6" t="s">
        <v>17</v>
      </c>
    </row>
    <row r="31" spans="1:5">
      <c r="A31" s="6" t="s">
        <v>86</v>
      </c>
      <c r="B31" s="6" t="s">
        <v>87</v>
      </c>
      <c r="C31" s="6" t="s">
        <v>88</v>
      </c>
      <c r="D31" s="6">
        <v>40</v>
      </c>
      <c r="E31" s="6" t="s">
        <v>21</v>
      </c>
    </row>
    <row r="32" spans="1:5">
      <c r="A32" s="6" t="s">
        <v>89</v>
      </c>
      <c r="B32" s="6" t="s">
        <v>75</v>
      </c>
      <c r="C32" s="6" t="s">
        <v>90</v>
      </c>
      <c r="D32" s="6">
        <v>130</v>
      </c>
      <c r="E32" s="6" t="s">
        <v>13</v>
      </c>
    </row>
    <row r="33" spans="1:5">
      <c r="A33" s="6" t="s">
        <v>91</v>
      </c>
      <c r="B33" s="6" t="s">
        <v>92</v>
      </c>
      <c r="C33" s="6" t="s">
        <v>93</v>
      </c>
      <c r="D33" s="6">
        <v>50</v>
      </c>
      <c r="E33" s="6" t="s">
        <v>17</v>
      </c>
    </row>
    <row r="34" spans="1:5">
      <c r="A34" s="6" t="s">
        <v>44</v>
      </c>
      <c r="B34" s="6" t="s">
        <v>11</v>
      </c>
      <c r="C34" s="6" t="s">
        <v>45</v>
      </c>
      <c r="D34" s="6">
        <v>950</v>
      </c>
      <c r="E34" s="6" t="s">
        <v>13</v>
      </c>
    </row>
    <row r="35" spans="1:5">
      <c r="A35" s="6" t="s">
        <v>94</v>
      </c>
      <c r="B35" s="6" t="s">
        <v>95</v>
      </c>
      <c r="C35" s="6" t="s">
        <v>96</v>
      </c>
      <c r="D35" s="6">
        <v>100</v>
      </c>
      <c r="E35" s="6" t="s">
        <v>57</v>
      </c>
    </row>
    <row r="37" spans="1:5">
      <c r="C37" s="10" t="s">
        <v>108</v>
      </c>
      <c r="D37" s="10">
        <f>COUNTIF(D2:D35,"&lt;100")</f>
        <v>11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404D9-6260-4ADF-9312-ABA78DFAA420}">
  <dimension ref="A1:E37"/>
  <sheetViews>
    <sheetView topLeftCell="A28" workbookViewId="0">
      <selection activeCell="C37" sqref="C37"/>
    </sheetView>
  </sheetViews>
  <sheetFormatPr defaultRowHeight="15"/>
  <cols>
    <col min="1" max="1" width="12.5703125" bestFit="1" customWidth="1"/>
    <col min="2" max="2" width="15.7109375" bestFit="1" customWidth="1"/>
    <col min="3" max="3" width="14.140625" bestFit="1" customWidth="1"/>
    <col min="4" max="4" width="10.42578125" bestFit="1" customWidth="1"/>
    <col min="5" max="5" width="11.140625" bestFit="1" customWidth="1"/>
  </cols>
  <sheetData>
    <row r="1" spans="1:5">
      <c r="A1" s="7" t="s">
        <v>0</v>
      </c>
      <c r="B1" s="7" t="s">
        <v>4</v>
      </c>
      <c r="C1" s="7" t="s">
        <v>5</v>
      </c>
      <c r="D1" s="7" t="s">
        <v>6</v>
      </c>
      <c r="E1" s="7" t="s">
        <v>9</v>
      </c>
    </row>
    <row r="2" spans="1:5">
      <c r="A2" s="6" t="s">
        <v>10</v>
      </c>
      <c r="B2" s="6" t="s">
        <v>11</v>
      </c>
      <c r="C2" s="6" t="s">
        <v>12</v>
      </c>
      <c r="D2" s="6">
        <v>1000</v>
      </c>
      <c r="E2" s="6" t="s">
        <v>13</v>
      </c>
    </row>
    <row r="3" spans="1:5">
      <c r="A3" s="6" t="s">
        <v>14</v>
      </c>
      <c r="B3" s="6" t="s">
        <v>15</v>
      </c>
      <c r="C3" s="6" t="s">
        <v>16</v>
      </c>
      <c r="D3" s="6">
        <v>80</v>
      </c>
      <c r="E3" s="6" t="s">
        <v>17</v>
      </c>
    </row>
    <row r="4" spans="1:5">
      <c r="A4" s="6" t="s">
        <v>18</v>
      </c>
      <c r="B4" s="6" t="s">
        <v>19</v>
      </c>
      <c r="C4" s="6" t="s">
        <v>20</v>
      </c>
      <c r="D4" s="6">
        <v>130</v>
      </c>
      <c r="E4" s="6" t="s">
        <v>21</v>
      </c>
    </row>
    <row r="5" spans="1:5">
      <c r="A5" s="6" t="s">
        <v>22</v>
      </c>
      <c r="B5" s="6" t="s">
        <v>23</v>
      </c>
      <c r="C5" s="6" t="s">
        <v>24</v>
      </c>
      <c r="D5" s="6">
        <v>900</v>
      </c>
      <c r="E5" s="6" t="s">
        <v>13</v>
      </c>
    </row>
    <row r="6" spans="1:5">
      <c r="A6" s="6" t="s">
        <v>25</v>
      </c>
      <c r="B6" s="6" t="s">
        <v>26</v>
      </c>
      <c r="C6" s="6" t="s">
        <v>27</v>
      </c>
      <c r="D6" s="6">
        <v>70</v>
      </c>
      <c r="E6" s="6" t="s">
        <v>28</v>
      </c>
    </row>
    <row r="7" spans="1:5">
      <c r="A7" s="6" t="s">
        <v>29</v>
      </c>
      <c r="B7" s="6" t="s">
        <v>30</v>
      </c>
      <c r="C7" s="6" t="s">
        <v>31</v>
      </c>
      <c r="D7" s="6">
        <v>200</v>
      </c>
      <c r="E7" s="6" t="s">
        <v>13</v>
      </c>
    </row>
    <row r="8" spans="1:5">
      <c r="A8" s="6" t="s">
        <v>32</v>
      </c>
      <c r="B8" s="6" t="s">
        <v>33</v>
      </c>
      <c r="C8" s="6" t="s">
        <v>34</v>
      </c>
      <c r="D8" s="6">
        <v>30</v>
      </c>
      <c r="E8" s="6" t="s">
        <v>17</v>
      </c>
    </row>
    <row r="9" spans="1:5">
      <c r="A9" s="6" t="s">
        <v>35</v>
      </c>
      <c r="B9" s="6" t="s">
        <v>36</v>
      </c>
      <c r="C9" s="6" t="s">
        <v>37</v>
      </c>
      <c r="D9" s="6">
        <v>90</v>
      </c>
      <c r="E9" s="6" t="s">
        <v>21</v>
      </c>
    </row>
    <row r="10" spans="1:5">
      <c r="A10" s="6" t="s">
        <v>38</v>
      </c>
      <c r="B10" s="6" t="s">
        <v>39</v>
      </c>
      <c r="C10" s="6" t="s">
        <v>40</v>
      </c>
      <c r="D10" s="6">
        <v>500</v>
      </c>
      <c r="E10" s="6" t="s">
        <v>13</v>
      </c>
    </row>
    <row r="11" spans="1:5">
      <c r="A11" s="6" t="s">
        <v>41</v>
      </c>
      <c r="B11" s="6" t="s">
        <v>42</v>
      </c>
      <c r="C11" s="6" t="s">
        <v>43</v>
      </c>
      <c r="D11" s="6">
        <v>130</v>
      </c>
      <c r="E11" s="6" t="s">
        <v>28</v>
      </c>
    </row>
    <row r="12" spans="1:5">
      <c r="A12" s="6" t="s">
        <v>44</v>
      </c>
      <c r="B12" s="6" t="s">
        <v>11</v>
      </c>
      <c r="C12" s="6" t="s">
        <v>45</v>
      </c>
      <c r="D12" s="6">
        <v>950</v>
      </c>
      <c r="E12" s="6" t="s">
        <v>13</v>
      </c>
    </row>
    <row r="13" spans="1:5">
      <c r="A13" s="6" t="s">
        <v>46</v>
      </c>
      <c r="B13" s="6" t="s">
        <v>15</v>
      </c>
      <c r="C13" s="6" t="s">
        <v>34</v>
      </c>
      <c r="D13" s="6">
        <v>90</v>
      </c>
      <c r="E13" s="6" t="s">
        <v>17</v>
      </c>
    </row>
    <row r="14" spans="1:5">
      <c r="A14" s="6" t="s">
        <v>47</v>
      </c>
      <c r="B14" s="6" t="s">
        <v>19</v>
      </c>
      <c r="C14" s="6" t="s">
        <v>48</v>
      </c>
      <c r="D14" s="6">
        <v>120</v>
      </c>
      <c r="E14" s="6" t="s">
        <v>21</v>
      </c>
    </row>
    <row r="15" spans="1:5">
      <c r="A15" s="6" t="s">
        <v>49</v>
      </c>
      <c r="B15" s="6" t="s">
        <v>50</v>
      </c>
      <c r="C15" s="6" t="s">
        <v>51</v>
      </c>
      <c r="D15" s="6">
        <v>150</v>
      </c>
      <c r="E15" s="6" t="s">
        <v>13</v>
      </c>
    </row>
    <row r="16" spans="1:5">
      <c r="A16" s="6" t="s">
        <v>52</v>
      </c>
      <c r="B16" s="6" t="s">
        <v>30</v>
      </c>
      <c r="C16" s="6" t="s">
        <v>53</v>
      </c>
      <c r="D16" s="6">
        <v>250</v>
      </c>
      <c r="E16" s="6" t="s">
        <v>13</v>
      </c>
    </row>
    <row r="17" spans="1:5">
      <c r="A17" s="6" t="s">
        <v>54</v>
      </c>
      <c r="B17" s="6" t="s">
        <v>55</v>
      </c>
      <c r="C17" s="6" t="s">
        <v>56</v>
      </c>
      <c r="D17" s="6">
        <v>50</v>
      </c>
      <c r="E17" s="6" t="s">
        <v>57</v>
      </c>
    </row>
    <row r="18" spans="1:5">
      <c r="A18" s="6" t="s">
        <v>58</v>
      </c>
      <c r="B18" s="6" t="s">
        <v>50</v>
      </c>
      <c r="C18" s="6" t="s">
        <v>59</v>
      </c>
      <c r="D18" s="6">
        <v>160</v>
      </c>
      <c r="E18" s="6" t="s">
        <v>13</v>
      </c>
    </row>
    <row r="19" spans="1:5">
      <c r="A19" s="6" t="s">
        <v>60</v>
      </c>
      <c r="B19" s="6" t="s">
        <v>11</v>
      </c>
      <c r="C19" s="6" t="s">
        <v>61</v>
      </c>
      <c r="D19" s="6">
        <v>980</v>
      </c>
      <c r="E19" s="6" t="s">
        <v>13</v>
      </c>
    </row>
    <row r="20" spans="1:5">
      <c r="A20" s="6" t="s">
        <v>62</v>
      </c>
      <c r="B20" s="6" t="s">
        <v>63</v>
      </c>
      <c r="C20" s="6" t="s">
        <v>64</v>
      </c>
      <c r="D20" s="6">
        <v>150</v>
      </c>
      <c r="E20" s="6" t="s">
        <v>17</v>
      </c>
    </row>
    <row r="21" spans="1:5">
      <c r="A21" s="6" t="s">
        <v>65</v>
      </c>
      <c r="B21" s="6" t="s">
        <v>66</v>
      </c>
      <c r="C21" s="6" t="s">
        <v>67</v>
      </c>
      <c r="D21" s="6">
        <v>200</v>
      </c>
      <c r="E21" s="6" t="s">
        <v>28</v>
      </c>
    </row>
    <row r="22" spans="1:5">
      <c r="A22" s="6" t="s">
        <v>68</v>
      </c>
      <c r="B22" s="6" t="s">
        <v>69</v>
      </c>
      <c r="C22" s="6" t="s">
        <v>70</v>
      </c>
      <c r="D22" s="6">
        <v>700</v>
      </c>
      <c r="E22" s="6" t="s">
        <v>13</v>
      </c>
    </row>
    <row r="23" spans="1:5">
      <c r="A23" s="6" t="s">
        <v>71</v>
      </c>
      <c r="B23" s="6" t="s">
        <v>72</v>
      </c>
      <c r="C23" s="6" t="s">
        <v>73</v>
      </c>
      <c r="D23" s="6">
        <v>80</v>
      </c>
      <c r="E23" s="6" t="s">
        <v>21</v>
      </c>
    </row>
    <row r="24" spans="1:5">
      <c r="A24" s="6" t="s">
        <v>74</v>
      </c>
      <c r="B24" s="6" t="s">
        <v>75</v>
      </c>
      <c r="C24" s="6" t="s">
        <v>76</v>
      </c>
      <c r="D24" s="6">
        <v>150</v>
      </c>
      <c r="E24" s="6" t="s">
        <v>13</v>
      </c>
    </row>
    <row r="25" spans="1:5">
      <c r="A25" s="6" t="s">
        <v>54</v>
      </c>
      <c r="B25" s="6" t="s">
        <v>55</v>
      </c>
      <c r="C25" s="6" t="s">
        <v>56</v>
      </c>
      <c r="D25" s="6">
        <v>50</v>
      </c>
      <c r="E25" s="6" t="s">
        <v>57</v>
      </c>
    </row>
    <row r="26" spans="1:5">
      <c r="A26" s="6" t="s">
        <v>77</v>
      </c>
      <c r="B26" s="6" t="s">
        <v>23</v>
      </c>
      <c r="C26" s="6" t="s">
        <v>78</v>
      </c>
      <c r="D26" s="6">
        <v>800</v>
      </c>
      <c r="E26" s="6" t="s">
        <v>13</v>
      </c>
    </row>
    <row r="27" spans="1:5">
      <c r="A27" s="6" t="s">
        <v>79</v>
      </c>
      <c r="B27" s="6" t="s">
        <v>63</v>
      </c>
      <c r="C27" s="6" t="s">
        <v>80</v>
      </c>
      <c r="D27" s="6">
        <v>130</v>
      </c>
      <c r="E27" s="6" t="s">
        <v>17</v>
      </c>
    </row>
    <row r="28" spans="1:5">
      <c r="A28" s="6" t="s">
        <v>81</v>
      </c>
      <c r="B28" s="6" t="s">
        <v>36</v>
      </c>
      <c r="C28" s="6" t="s">
        <v>82</v>
      </c>
      <c r="D28" s="6">
        <v>400</v>
      </c>
      <c r="E28" s="6" t="s">
        <v>21</v>
      </c>
    </row>
    <row r="29" spans="1:5">
      <c r="A29" s="6" t="s">
        <v>52</v>
      </c>
      <c r="B29" s="6" t="s">
        <v>30</v>
      </c>
      <c r="C29" s="6" t="s">
        <v>53</v>
      </c>
      <c r="D29" s="6">
        <v>230</v>
      </c>
      <c r="E29" s="6" t="s">
        <v>13</v>
      </c>
    </row>
    <row r="30" spans="1:5">
      <c r="A30" s="6" t="s">
        <v>83</v>
      </c>
      <c r="B30" s="6" t="s">
        <v>84</v>
      </c>
      <c r="C30" s="6" t="s">
        <v>85</v>
      </c>
      <c r="D30" s="6">
        <v>60</v>
      </c>
      <c r="E30" s="6" t="s">
        <v>17</v>
      </c>
    </row>
    <row r="31" spans="1:5">
      <c r="A31" s="6" t="s">
        <v>86</v>
      </c>
      <c r="B31" s="6" t="s">
        <v>87</v>
      </c>
      <c r="C31" s="6" t="s">
        <v>88</v>
      </c>
      <c r="D31" s="6">
        <v>40</v>
      </c>
      <c r="E31" s="6" t="s">
        <v>21</v>
      </c>
    </row>
    <row r="32" spans="1:5">
      <c r="A32" s="6" t="s">
        <v>89</v>
      </c>
      <c r="B32" s="6" t="s">
        <v>75</v>
      </c>
      <c r="C32" s="6" t="s">
        <v>90</v>
      </c>
      <c r="D32" s="6">
        <v>130</v>
      </c>
      <c r="E32" s="6" t="s">
        <v>13</v>
      </c>
    </row>
    <row r="33" spans="1:5">
      <c r="A33" s="6" t="s">
        <v>91</v>
      </c>
      <c r="B33" s="6" t="s">
        <v>92</v>
      </c>
      <c r="C33" s="6" t="s">
        <v>93</v>
      </c>
      <c r="D33" s="6">
        <v>50</v>
      </c>
      <c r="E33" s="6" t="s">
        <v>17</v>
      </c>
    </row>
    <row r="34" spans="1:5">
      <c r="A34" s="6" t="s">
        <v>44</v>
      </c>
      <c r="B34" s="6" t="s">
        <v>11</v>
      </c>
      <c r="C34" s="6" t="s">
        <v>45</v>
      </c>
      <c r="D34" s="6">
        <v>950</v>
      </c>
      <c r="E34" s="6" t="s">
        <v>13</v>
      </c>
    </row>
    <row r="35" spans="1:5">
      <c r="A35" s="6" t="s">
        <v>94</v>
      </c>
      <c r="B35" s="6" t="s">
        <v>95</v>
      </c>
      <c r="C35" s="6" t="s">
        <v>96</v>
      </c>
      <c r="D35" s="6">
        <v>100</v>
      </c>
      <c r="E35" s="6" t="s">
        <v>57</v>
      </c>
    </row>
    <row r="37" spans="1:5">
      <c r="C37" s="10" t="s">
        <v>109</v>
      </c>
      <c r="D37" s="8">
        <f>SUMIF(E2:E35,"Electronics",D2:D35)</f>
        <v>8050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C2EC2-B57E-4E67-9CF7-A83451D1F85A}">
  <dimension ref="A1:E37"/>
  <sheetViews>
    <sheetView topLeftCell="A31" workbookViewId="0">
      <selection activeCell="C37" sqref="C37:D37"/>
    </sheetView>
  </sheetViews>
  <sheetFormatPr defaultRowHeight="15"/>
  <cols>
    <col min="1" max="1" width="12.5703125" bestFit="1" customWidth="1"/>
    <col min="2" max="2" width="15.7109375" bestFit="1" customWidth="1"/>
    <col min="3" max="3" width="14.140625" bestFit="1" customWidth="1"/>
    <col min="4" max="4" width="10.42578125" bestFit="1" customWidth="1"/>
    <col min="5" max="5" width="11.140625" bestFit="1" customWidth="1"/>
  </cols>
  <sheetData>
    <row r="1" spans="1:5">
      <c r="A1" s="7" t="s">
        <v>0</v>
      </c>
      <c r="B1" s="7" t="s">
        <v>4</v>
      </c>
      <c r="C1" s="7" t="s">
        <v>5</v>
      </c>
      <c r="D1" s="7" t="s">
        <v>6</v>
      </c>
      <c r="E1" s="7" t="s">
        <v>9</v>
      </c>
    </row>
    <row r="2" spans="1:5">
      <c r="A2" s="6" t="s">
        <v>10</v>
      </c>
      <c r="B2" s="6" t="s">
        <v>11</v>
      </c>
      <c r="C2" s="6" t="s">
        <v>12</v>
      </c>
      <c r="D2" s="6">
        <v>1000</v>
      </c>
      <c r="E2" s="6" t="s">
        <v>13</v>
      </c>
    </row>
    <row r="3" spans="1:5">
      <c r="A3" s="6" t="s">
        <v>14</v>
      </c>
      <c r="B3" s="6" t="s">
        <v>15</v>
      </c>
      <c r="C3" s="6" t="s">
        <v>16</v>
      </c>
      <c r="D3" s="6">
        <v>80</v>
      </c>
      <c r="E3" s="6" t="s">
        <v>17</v>
      </c>
    </row>
    <row r="4" spans="1:5">
      <c r="A4" s="6" t="s">
        <v>18</v>
      </c>
      <c r="B4" s="6" t="s">
        <v>19</v>
      </c>
      <c r="C4" s="6" t="s">
        <v>20</v>
      </c>
      <c r="D4" s="6">
        <v>130</v>
      </c>
      <c r="E4" s="6" t="s">
        <v>21</v>
      </c>
    </row>
    <row r="5" spans="1:5">
      <c r="A5" s="6" t="s">
        <v>22</v>
      </c>
      <c r="B5" s="6" t="s">
        <v>23</v>
      </c>
      <c r="C5" s="6" t="s">
        <v>24</v>
      </c>
      <c r="D5" s="6">
        <v>900</v>
      </c>
      <c r="E5" s="6" t="s">
        <v>13</v>
      </c>
    </row>
    <row r="6" spans="1:5">
      <c r="A6" s="6" t="s">
        <v>25</v>
      </c>
      <c r="B6" s="6" t="s">
        <v>26</v>
      </c>
      <c r="C6" s="6" t="s">
        <v>27</v>
      </c>
      <c r="D6" s="6">
        <v>70</v>
      </c>
      <c r="E6" s="6" t="s">
        <v>28</v>
      </c>
    </row>
    <row r="7" spans="1:5">
      <c r="A7" s="6" t="s">
        <v>29</v>
      </c>
      <c r="B7" s="6" t="s">
        <v>30</v>
      </c>
      <c r="C7" s="6" t="s">
        <v>31</v>
      </c>
      <c r="D7" s="6">
        <v>200</v>
      </c>
      <c r="E7" s="6" t="s">
        <v>13</v>
      </c>
    </row>
    <row r="8" spans="1:5">
      <c r="A8" s="6" t="s">
        <v>32</v>
      </c>
      <c r="B8" s="6" t="s">
        <v>33</v>
      </c>
      <c r="C8" s="6" t="s">
        <v>34</v>
      </c>
      <c r="D8" s="6">
        <v>30</v>
      </c>
      <c r="E8" s="6" t="s">
        <v>17</v>
      </c>
    </row>
    <row r="9" spans="1:5">
      <c r="A9" s="6" t="s">
        <v>35</v>
      </c>
      <c r="B9" s="6" t="s">
        <v>36</v>
      </c>
      <c r="C9" s="6" t="s">
        <v>37</v>
      </c>
      <c r="D9" s="6">
        <v>90</v>
      </c>
      <c r="E9" s="6" t="s">
        <v>21</v>
      </c>
    </row>
    <row r="10" spans="1:5">
      <c r="A10" s="6" t="s">
        <v>38</v>
      </c>
      <c r="B10" s="6" t="s">
        <v>39</v>
      </c>
      <c r="C10" s="6" t="s">
        <v>40</v>
      </c>
      <c r="D10" s="6">
        <v>500</v>
      </c>
      <c r="E10" s="6" t="s">
        <v>13</v>
      </c>
    </row>
    <row r="11" spans="1:5">
      <c r="A11" s="6" t="s">
        <v>41</v>
      </c>
      <c r="B11" s="6" t="s">
        <v>42</v>
      </c>
      <c r="C11" s="6" t="s">
        <v>43</v>
      </c>
      <c r="D11" s="6">
        <v>130</v>
      </c>
      <c r="E11" s="6" t="s">
        <v>28</v>
      </c>
    </row>
    <row r="12" spans="1:5">
      <c r="A12" s="6" t="s">
        <v>44</v>
      </c>
      <c r="B12" s="6" t="s">
        <v>11</v>
      </c>
      <c r="C12" s="6" t="s">
        <v>45</v>
      </c>
      <c r="D12" s="6">
        <v>950</v>
      </c>
      <c r="E12" s="6" t="s">
        <v>13</v>
      </c>
    </row>
    <row r="13" spans="1:5">
      <c r="A13" s="6" t="s">
        <v>46</v>
      </c>
      <c r="B13" s="6" t="s">
        <v>15</v>
      </c>
      <c r="C13" s="6" t="s">
        <v>34</v>
      </c>
      <c r="D13" s="6">
        <v>90</v>
      </c>
      <c r="E13" s="6" t="s">
        <v>17</v>
      </c>
    </row>
    <row r="14" spans="1:5">
      <c r="A14" s="6" t="s">
        <v>47</v>
      </c>
      <c r="B14" s="6" t="s">
        <v>19</v>
      </c>
      <c r="C14" s="6" t="s">
        <v>48</v>
      </c>
      <c r="D14" s="6">
        <v>120</v>
      </c>
      <c r="E14" s="6" t="s">
        <v>21</v>
      </c>
    </row>
    <row r="15" spans="1:5">
      <c r="A15" s="6" t="s">
        <v>49</v>
      </c>
      <c r="B15" s="6" t="s">
        <v>50</v>
      </c>
      <c r="C15" s="6" t="s">
        <v>51</v>
      </c>
      <c r="D15" s="6">
        <v>150</v>
      </c>
      <c r="E15" s="6" t="s">
        <v>13</v>
      </c>
    </row>
    <row r="16" spans="1:5">
      <c r="A16" s="6" t="s">
        <v>52</v>
      </c>
      <c r="B16" s="6" t="s">
        <v>30</v>
      </c>
      <c r="C16" s="6" t="s">
        <v>53</v>
      </c>
      <c r="D16" s="6">
        <v>250</v>
      </c>
      <c r="E16" s="6" t="s">
        <v>13</v>
      </c>
    </row>
    <row r="17" spans="1:5">
      <c r="A17" s="6" t="s">
        <v>54</v>
      </c>
      <c r="B17" s="6" t="s">
        <v>55</v>
      </c>
      <c r="C17" s="6" t="s">
        <v>56</v>
      </c>
      <c r="D17" s="6">
        <v>50</v>
      </c>
      <c r="E17" s="6" t="s">
        <v>57</v>
      </c>
    </row>
    <row r="18" spans="1:5">
      <c r="A18" s="6" t="s">
        <v>58</v>
      </c>
      <c r="B18" s="6" t="s">
        <v>50</v>
      </c>
      <c r="C18" s="6" t="s">
        <v>59</v>
      </c>
      <c r="D18" s="6">
        <v>160</v>
      </c>
      <c r="E18" s="6" t="s">
        <v>13</v>
      </c>
    </row>
    <row r="19" spans="1:5">
      <c r="A19" s="6" t="s">
        <v>60</v>
      </c>
      <c r="B19" s="6" t="s">
        <v>11</v>
      </c>
      <c r="C19" s="6" t="s">
        <v>61</v>
      </c>
      <c r="D19" s="6">
        <v>980</v>
      </c>
      <c r="E19" s="6" t="s">
        <v>13</v>
      </c>
    </row>
    <row r="20" spans="1:5">
      <c r="A20" s="6" t="s">
        <v>62</v>
      </c>
      <c r="B20" s="6" t="s">
        <v>63</v>
      </c>
      <c r="C20" s="6" t="s">
        <v>64</v>
      </c>
      <c r="D20" s="6">
        <v>150</v>
      </c>
      <c r="E20" s="6" t="s">
        <v>17</v>
      </c>
    </row>
    <row r="21" spans="1:5">
      <c r="A21" s="6" t="s">
        <v>65</v>
      </c>
      <c r="B21" s="6" t="s">
        <v>66</v>
      </c>
      <c r="C21" s="6" t="s">
        <v>67</v>
      </c>
      <c r="D21" s="6">
        <v>200</v>
      </c>
      <c r="E21" s="6" t="s">
        <v>28</v>
      </c>
    </row>
    <row r="22" spans="1:5">
      <c r="A22" s="6" t="s">
        <v>68</v>
      </c>
      <c r="B22" s="6" t="s">
        <v>69</v>
      </c>
      <c r="C22" s="6" t="s">
        <v>70</v>
      </c>
      <c r="D22" s="6">
        <v>700</v>
      </c>
      <c r="E22" s="6" t="s">
        <v>13</v>
      </c>
    </row>
    <row r="23" spans="1:5">
      <c r="A23" s="6" t="s">
        <v>71</v>
      </c>
      <c r="B23" s="6" t="s">
        <v>72</v>
      </c>
      <c r="C23" s="6" t="s">
        <v>73</v>
      </c>
      <c r="D23" s="6">
        <v>80</v>
      </c>
      <c r="E23" s="6" t="s">
        <v>21</v>
      </c>
    </row>
    <row r="24" spans="1:5">
      <c r="A24" s="6" t="s">
        <v>74</v>
      </c>
      <c r="B24" s="6" t="s">
        <v>75</v>
      </c>
      <c r="C24" s="6" t="s">
        <v>76</v>
      </c>
      <c r="D24" s="6">
        <v>150</v>
      </c>
      <c r="E24" s="6" t="s">
        <v>13</v>
      </c>
    </row>
    <row r="25" spans="1:5">
      <c r="A25" s="6" t="s">
        <v>54</v>
      </c>
      <c r="B25" s="6" t="s">
        <v>55</v>
      </c>
      <c r="C25" s="6" t="s">
        <v>56</v>
      </c>
      <c r="D25" s="6">
        <v>50</v>
      </c>
      <c r="E25" s="6" t="s">
        <v>57</v>
      </c>
    </row>
    <row r="26" spans="1:5">
      <c r="A26" s="6" t="s">
        <v>77</v>
      </c>
      <c r="B26" s="6" t="s">
        <v>23</v>
      </c>
      <c r="C26" s="6" t="s">
        <v>78</v>
      </c>
      <c r="D26" s="6">
        <v>800</v>
      </c>
      <c r="E26" s="6" t="s">
        <v>13</v>
      </c>
    </row>
    <row r="27" spans="1:5">
      <c r="A27" s="6" t="s">
        <v>79</v>
      </c>
      <c r="B27" s="6" t="s">
        <v>63</v>
      </c>
      <c r="C27" s="6" t="s">
        <v>80</v>
      </c>
      <c r="D27" s="6">
        <v>130</v>
      </c>
      <c r="E27" s="6" t="s">
        <v>17</v>
      </c>
    </row>
    <row r="28" spans="1:5">
      <c r="A28" s="6" t="s">
        <v>81</v>
      </c>
      <c r="B28" s="6" t="s">
        <v>36</v>
      </c>
      <c r="C28" s="6" t="s">
        <v>82</v>
      </c>
      <c r="D28" s="6">
        <v>400</v>
      </c>
      <c r="E28" s="6" t="s">
        <v>21</v>
      </c>
    </row>
    <row r="29" spans="1:5">
      <c r="A29" s="6" t="s">
        <v>52</v>
      </c>
      <c r="B29" s="6" t="s">
        <v>30</v>
      </c>
      <c r="C29" s="6" t="s">
        <v>53</v>
      </c>
      <c r="D29" s="6">
        <v>230</v>
      </c>
      <c r="E29" s="6" t="s">
        <v>13</v>
      </c>
    </row>
    <row r="30" spans="1:5">
      <c r="A30" s="6" t="s">
        <v>83</v>
      </c>
      <c r="B30" s="6" t="s">
        <v>84</v>
      </c>
      <c r="C30" s="6" t="s">
        <v>85</v>
      </c>
      <c r="D30" s="6">
        <v>60</v>
      </c>
      <c r="E30" s="6" t="s">
        <v>17</v>
      </c>
    </row>
    <row r="31" spans="1:5">
      <c r="A31" s="6" t="s">
        <v>86</v>
      </c>
      <c r="B31" s="6" t="s">
        <v>87</v>
      </c>
      <c r="C31" s="6" t="s">
        <v>88</v>
      </c>
      <c r="D31" s="6">
        <v>40</v>
      </c>
      <c r="E31" s="6" t="s">
        <v>21</v>
      </c>
    </row>
    <row r="32" spans="1:5">
      <c r="A32" s="6" t="s">
        <v>89</v>
      </c>
      <c r="B32" s="6" t="s">
        <v>75</v>
      </c>
      <c r="C32" s="6" t="s">
        <v>90</v>
      </c>
      <c r="D32" s="6">
        <v>130</v>
      </c>
      <c r="E32" s="6" t="s">
        <v>13</v>
      </c>
    </row>
    <row r="33" spans="1:5">
      <c r="A33" s="6" t="s">
        <v>91</v>
      </c>
      <c r="B33" s="6" t="s">
        <v>92</v>
      </c>
      <c r="C33" s="6" t="s">
        <v>93</v>
      </c>
      <c r="D33" s="6">
        <v>50</v>
      </c>
      <c r="E33" s="6" t="s">
        <v>17</v>
      </c>
    </row>
    <row r="34" spans="1:5">
      <c r="A34" s="6" t="s">
        <v>44</v>
      </c>
      <c r="B34" s="6" t="s">
        <v>11</v>
      </c>
      <c r="C34" s="6" t="s">
        <v>45</v>
      </c>
      <c r="D34" s="6">
        <v>950</v>
      </c>
      <c r="E34" s="6" t="s">
        <v>13</v>
      </c>
    </row>
    <row r="35" spans="1:5">
      <c r="A35" s="6" t="s">
        <v>94</v>
      </c>
      <c r="B35" s="6" t="s">
        <v>95</v>
      </c>
      <c r="C35" s="6" t="s">
        <v>96</v>
      </c>
      <c r="D35" s="6">
        <v>100</v>
      </c>
      <c r="E35" s="6" t="s">
        <v>57</v>
      </c>
    </row>
    <row r="37" spans="1:5">
      <c r="C37" s="10" t="s">
        <v>110</v>
      </c>
      <c r="D37" s="10">
        <f>COUNT(D2:D35)</f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2026-04-29T06:45:53Z</dcterms:created>
  <dcterms:modified xsi:type="dcterms:W3CDTF">2026-04-29T20:13:12Z</dcterms:modified>
  <cp:category/>
  <cp:contentStatus/>
</cp:coreProperties>
</file>