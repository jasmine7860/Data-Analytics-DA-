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32ACF9ED-FBA4-2A47-9652-E584BEE92D68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Raw Dataset" sheetId="1" r:id="rId1"/>
    <sheet name="Work 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2" i="2"/>
</calcChain>
</file>

<file path=xl/sharedStrings.xml><?xml version="1.0" encoding="utf-8"?>
<sst xmlns="http://schemas.openxmlformats.org/spreadsheetml/2006/main" count="315" uniqueCount="98">
  <si>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</si>
  <si>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</si>
  <si>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</si>
  <si>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</si>
  <si>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</si>
  <si>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</si>
  <si>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</si>
  <si>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</si>
  <si>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</si>
  <si>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</si>
  <si>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</si>
  <si>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</si>
  <si>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</si>
  <si>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</si>
  <si>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</si>
  <si>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</si>
  <si>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</si>
  <si>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</si>
  <si>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</si>
  <si>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</si>
  <si>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</si>
  <si>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</si>
  <si>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</si>
  <si>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</si>
  <si>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</si>
  <si>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</si>
  <si>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</si>
  <si>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</si>
  <si>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</si>
  <si>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</si>
  <si>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</si>
  <si>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</si>
  <si>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</si>
  <si>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</si>
  <si>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</si>
  <si>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</si>
  <si>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</si>
  <si>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</si>
  <si>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</si>
  <si>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</si>
  <si>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</si>
  <si>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</si>
  <si>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</si>
  <si>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</si>
  <si>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</si>
  <si>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</si>
  <si>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</si>
  <si>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</si>
  <si>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</si>
  <si>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</si>
  <si>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</si>
  <si>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</si>
  <si>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</si>
  <si>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</si>
  <si>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</si>
  <si>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</si>
  <si>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</si>
  <si>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</si>
  <si>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</si>
  <si>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</si>
  <si>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</si>
  <si>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</si>
  <si>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</si>
  <si>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</si>
  <si>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</si>
  <si>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</si>
  <si>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</si>
  <si>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</si>
  <si>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</si>
  <si>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</si>
  <si>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</si>
  <si>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</si>
  <si>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</si>
  <si>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</si>
  <si>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</si>
  <si>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</si>
  <si>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</si>
  <si>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</si>
  <si>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</si>
  <si>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</si>
  <si>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</si>
  <si>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</si>
  <si>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</si>
  <si>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</si>
  <si>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</si>
  <si>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</si>
  <si>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</si>
  <si>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</si>
  <si>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</si>
  <si>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</si>
  <si>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</si>
  <si>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</si>
  <si>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</si>
  <si>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Proper Product Name</t>
  </si>
  <si>
    <t>Manufacturing Date</t>
  </si>
  <si>
    <t>County Code</t>
  </si>
  <si>
    <t>Product Brand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</si>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</sst>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d\-mmm\-yyyy;@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164" fontId="0" fillId="0" borderId="0" xfId="0" applyNumberFormat="1" applyFont="1" applyAlignment="1"/>
    <xf numFmtId="165" fontId="0" fillId="0" borderId="0" xfId="0" applyNumberFormat="1" applyFont="1" applyAlignme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left"/>
    </xf>
    <xf numFmtId="165" fontId="0" fillId="0" borderId="0" xfId="0" applyNumberFormat="1" applyFont="1" applyAlignment="1">
      <alignment horizontal="left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5" formatCode="[$-409]d\-mmm\-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&quot;$&quot;#,##0.00"/>
      <alignment horizontal="left" vertical="bottom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Relationship Id="rId9" Type="http://schemas.openxmlformats.org/officeDocument/2006/relationships/calcChain" Target="calcChain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D2891-E441-4C77-9834-D84B2D82E906}" name="Table1" displayName="Table1" ref="H1:N33" totalsRowShown="0" headerRowDxfId="9" dataDxfId="8">
  <autoFilter ref="H1:N33" xr:uid="{111D2891-E441-4C77-9834-D84B2D82E9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6198BBC-DA5C-43D9-B8F5-89A21F2CD509}" name="Proper Product Name" dataDxfId="7">
      <calculatedColumnFormula>PROPER(B2)</calculatedColumnFormula>
    </tableColumn>
    <tableColumn id="2" xr3:uid="{F7D58AF5-52D4-476D-A411-D41CEFDD6A44}" name="Manufacturing Date" dataDxfId="6">
      <calculatedColumnFormula>LEFT(A2,6)</calculatedColumnFormula>
    </tableColumn>
    <tableColumn id="3" xr3:uid="{9D222A7B-87D2-4550-BA1A-FD1FAEAB2885}" name="County Code" dataDxfId="5">
      <calculatedColumnFormula>RIGHT(A2,2)</calculatedColumnFormula>
    </tableColumn>
    <tableColumn id="4" xr3:uid="{D9DCFA9A-0239-4D5E-83C5-8E630B9474CF}" name="Product Brand" dataDxfId="4">
      <calculatedColumnFormula>C2&amp;" "&amp;B2</calculatedColumnFormula>
    </tableColumn>
    <tableColumn id="5" xr3:uid="{FC0DED56-6BF1-48C1-B2F2-2D88CE77E643}" name="Price ($)" dataDxfId="3"/>
    <tableColumn id="6" xr3:uid="{13A53776-BB91-4780-A097-077459F4E0D7}" name="Date" dataDxfId="2">
      <calculatedColumnFormula>DATEVALUE(LEFT(A2,6)&amp;"-2026")</calculatedColumnFormula>
    </tableColumn>
    <tableColumn id="7" xr3:uid="{5B5EE449-93AB-46AD-9552-C750DB2D3038}" name="Category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sqref="A1:F35"/>
    </sheetView>
  </sheetViews>
  <sheetFormatPr defaultColWidth="12.5390625" defaultRowHeight="15" customHeight="1" x14ac:dyDescent="0.15"/>
  <cols>
    <col min="2" max="2" width="14.15625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1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1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1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1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1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1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1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1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1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1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1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1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1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1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1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1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1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1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1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1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1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1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1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1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1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1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1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1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1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1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1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1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1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1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15"/>
    <row r="37" spans="1:7" ht="15.75" customHeight="1" x14ac:dyDescent="0.15"/>
    <row r="38" spans="1:7" ht="15.75" customHeight="1" x14ac:dyDescent="0.15"/>
    <row r="39" spans="1:7" ht="15.75" customHeight="1" x14ac:dyDescent="0.15"/>
    <row r="40" spans="1:7" ht="15.75" customHeight="1" x14ac:dyDescent="0.15"/>
    <row r="41" spans="1:7" ht="15.75" customHeight="1" x14ac:dyDescent="0.15"/>
    <row r="42" spans="1:7" ht="15.75" customHeight="1" x14ac:dyDescent="0.15"/>
    <row r="43" spans="1:7" ht="15.75" customHeight="1" x14ac:dyDescent="0.15"/>
    <row r="44" spans="1:7" ht="15.75" customHeight="1" x14ac:dyDescent="0.15"/>
    <row r="45" spans="1:7" ht="15.75" customHeight="1" x14ac:dyDescent="0.15"/>
    <row r="46" spans="1:7" ht="15.75" customHeight="1" x14ac:dyDescent="0.15"/>
    <row r="47" spans="1:7" ht="15.75" customHeight="1" x14ac:dyDescent="0.15"/>
    <row r="48" spans="1:7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2982-8239-4EF9-9840-5C953678906E}">
  <dimension ref="A1:N33"/>
  <sheetViews>
    <sheetView tabSelected="1" workbookViewId="0">
      <selection activeCell="H1" sqref="H1:H1048576"/>
    </sheetView>
  </sheetViews>
  <sheetFormatPr defaultRowHeight="12.75" x14ac:dyDescent="0.15"/>
  <cols>
    <col min="1" max="1" width="10.78515625" bestFit="1" customWidth="1"/>
    <col min="2" max="2" width="13.75390625" bestFit="1" customWidth="1"/>
    <col min="3" max="3" width="11.8671875" bestFit="1" customWidth="1"/>
    <col min="4" max="4" width="8.08984375" bestFit="1" customWidth="1"/>
    <col min="5" max="5" width="8.359375" bestFit="1" customWidth="1"/>
    <col min="6" max="6" width="10.78515625" bestFit="1" customWidth="1"/>
    <col min="8" max="8" width="20.765625" customWidth="1"/>
    <col min="9" max="9" width="20.359375" bestFit="1" customWidth="1"/>
    <col min="10" max="10" width="14.6953125" bestFit="1" customWidth="1"/>
    <col min="11" max="11" width="21.44140625" bestFit="1" customWidth="1"/>
    <col min="12" max="12" width="13.34765625" style="9" customWidth="1"/>
    <col min="13" max="13" width="14.15625" style="10" customWidth="1"/>
    <col min="14" max="14" width="11.19140625" bestFit="1" customWidth="1"/>
  </cols>
  <sheetData>
    <row r="1" spans="1:14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H1" s="11" t="s">
        <v>93</v>
      </c>
      <c r="I1" s="11" t="s">
        <v>94</v>
      </c>
      <c r="J1" s="11" t="s">
        <v>95</v>
      </c>
      <c r="K1" s="11" t="s">
        <v>96</v>
      </c>
      <c r="L1" s="12" t="s">
        <v>3</v>
      </c>
      <c r="M1" s="13" t="s">
        <v>97</v>
      </c>
      <c r="N1" s="11" t="s">
        <v>5</v>
      </c>
    </row>
    <row r="2" spans="1:14" x14ac:dyDescent="0.15">
      <c r="A2" s="7" t="s">
        <v>6</v>
      </c>
      <c r="B2" s="7" t="s">
        <v>7</v>
      </c>
      <c r="C2" s="7" t="s">
        <v>8</v>
      </c>
      <c r="D2" s="7">
        <v>1000</v>
      </c>
      <c r="E2" s="7">
        <v>30</v>
      </c>
      <c r="F2" s="7" t="s">
        <v>9</v>
      </c>
      <c r="H2" s="14" t="str">
        <f>PROPER(B2)</f>
        <v>Laptop</v>
      </c>
      <c r="I2" s="14" t="str">
        <f>LEFT(A2,6)</f>
        <v>28-JAN</v>
      </c>
      <c r="J2" s="14" t="str">
        <f>RIGHT(A2,2)</f>
        <v>US</v>
      </c>
      <c r="K2" s="14" t="str">
        <f>C2&amp;" "&amp;B2</f>
        <v>Dell Laptop</v>
      </c>
      <c r="L2" s="15">
        <v>1000</v>
      </c>
      <c r="M2" s="16">
        <f>DATEVALUE(LEFT(A2,6)&amp;"-2026")</f>
        <v>46050</v>
      </c>
      <c r="N2" s="14" t="s">
        <v>9</v>
      </c>
    </row>
    <row r="3" spans="1:14" x14ac:dyDescent="0.15">
      <c r="A3" s="8" t="s">
        <v>10</v>
      </c>
      <c r="B3" s="8" t="s">
        <v>11</v>
      </c>
      <c r="C3" s="8" t="s">
        <v>12</v>
      </c>
      <c r="D3" s="8">
        <v>80</v>
      </c>
      <c r="E3" s="8">
        <v>15</v>
      </c>
      <c r="F3" s="8" t="s">
        <v>13</v>
      </c>
      <c r="H3" s="14" t="str">
        <f t="shared" ref="H3:H33" si="0">PROPER(B3)</f>
        <v>Sneakers</v>
      </c>
      <c r="I3" s="14" t="str">
        <f t="shared" ref="I3:I33" si="1">LEFT(A3,6)</f>
        <v>15-FEB</v>
      </c>
      <c r="J3" s="14" t="str">
        <f t="shared" ref="J3:J33" si="2">RIGHT(A3,2)</f>
        <v>US</v>
      </c>
      <c r="K3" s="14" t="str">
        <f>C3&amp;" "&amp;B3</f>
        <v>Nike Sneakers</v>
      </c>
      <c r="L3" s="15">
        <v>80</v>
      </c>
      <c r="M3" s="16">
        <f t="shared" ref="M3:M33" si="3">DATEVALUE(LEFT(A3,6)&amp;"-2026")</f>
        <v>46068</v>
      </c>
      <c r="N3" s="14" t="s">
        <v>13</v>
      </c>
    </row>
    <row r="4" spans="1:14" x14ac:dyDescent="0.15">
      <c r="A4" s="7" t="s">
        <v>14</v>
      </c>
      <c r="B4" s="7" t="s">
        <v>15</v>
      </c>
      <c r="C4" s="7" t="s">
        <v>16</v>
      </c>
      <c r="D4" s="7">
        <v>130</v>
      </c>
      <c r="E4" s="7">
        <v>40</v>
      </c>
      <c r="F4" s="7" t="s">
        <v>17</v>
      </c>
      <c r="H4" s="14" t="str">
        <f t="shared" si="0"/>
        <v>Coffee Maker</v>
      </c>
      <c r="I4" s="14" t="str">
        <f t="shared" si="1"/>
        <v>03-MAR</v>
      </c>
      <c r="J4" s="14" t="str">
        <f t="shared" si="2"/>
        <v>US</v>
      </c>
      <c r="K4" s="14" t="str">
        <f t="shared" ref="K3:K33" si="4">C4&amp;" "&amp;B4</f>
        <v>Keurig Coffee Maker</v>
      </c>
      <c r="L4" s="15">
        <v>130</v>
      </c>
      <c r="M4" s="16">
        <f t="shared" si="3"/>
        <v>46084</v>
      </c>
      <c r="N4" s="14" t="s">
        <v>17</v>
      </c>
    </row>
    <row r="5" spans="1:14" x14ac:dyDescent="0.15">
      <c r="A5" s="8" t="s">
        <v>18</v>
      </c>
      <c r="B5" s="8" t="s">
        <v>19</v>
      </c>
      <c r="C5" s="8" t="s">
        <v>20</v>
      </c>
      <c r="D5" s="8">
        <v>900</v>
      </c>
      <c r="E5" s="8">
        <v>25</v>
      </c>
      <c r="F5" s="8" t="s">
        <v>9</v>
      </c>
      <c r="H5" s="14" t="str">
        <f t="shared" si="0"/>
        <v>Smartphone</v>
      </c>
      <c r="I5" s="14" t="str">
        <f t="shared" si="1"/>
        <v>11-APR</v>
      </c>
      <c r="J5" s="14" t="str">
        <f t="shared" si="2"/>
        <v>US</v>
      </c>
      <c r="K5" s="14" t="str">
        <f t="shared" si="4"/>
        <v>Samsung Smartphone</v>
      </c>
      <c r="L5" s="15">
        <v>900</v>
      </c>
      <c r="M5" s="16">
        <f t="shared" si="3"/>
        <v>46123</v>
      </c>
      <c r="N5" s="14" t="s">
        <v>9</v>
      </c>
    </row>
    <row r="6" spans="1:14" x14ac:dyDescent="0.15">
      <c r="A6" s="7" t="s">
        <v>21</v>
      </c>
      <c r="B6" s="7" t="s">
        <v>22</v>
      </c>
      <c r="C6" s="7" t="s">
        <v>23</v>
      </c>
      <c r="D6" s="7">
        <v>70</v>
      </c>
      <c r="E6" s="7">
        <v>20</v>
      </c>
      <c r="F6" s="7" t="s">
        <v>24</v>
      </c>
      <c r="H6" s="14" t="str">
        <f t="shared" si="0"/>
        <v>Backpack</v>
      </c>
      <c r="I6" s="14" t="str">
        <f t="shared" si="1"/>
        <v>22-MAY</v>
      </c>
      <c r="J6" s="14" t="str">
        <f t="shared" si="2"/>
        <v>US</v>
      </c>
      <c r="K6" s="14" t="str">
        <f t="shared" si="4"/>
        <v>North Face Backpack</v>
      </c>
      <c r="L6" s="15">
        <v>70</v>
      </c>
      <c r="M6" s="16">
        <f t="shared" si="3"/>
        <v>46164</v>
      </c>
      <c r="N6" s="14" t="s">
        <v>24</v>
      </c>
    </row>
    <row r="7" spans="1:14" x14ac:dyDescent="0.15">
      <c r="A7" s="8" t="s">
        <v>25</v>
      </c>
      <c r="B7" s="8" t="s">
        <v>26</v>
      </c>
      <c r="C7" s="8" t="s">
        <v>27</v>
      </c>
      <c r="D7" s="8">
        <v>200</v>
      </c>
      <c r="E7" s="8">
        <v>45</v>
      </c>
      <c r="F7" s="8" t="s">
        <v>9</v>
      </c>
      <c r="H7" s="14" t="str">
        <f t="shared" si="0"/>
        <v>Headphones</v>
      </c>
      <c r="I7" s="14" t="str">
        <f t="shared" si="1"/>
        <v>07-JUN</v>
      </c>
      <c r="J7" s="14" t="str">
        <f t="shared" si="2"/>
        <v>UK</v>
      </c>
      <c r="K7" s="14" t="str">
        <f t="shared" si="4"/>
        <v>Sony Headphones</v>
      </c>
      <c r="L7" s="15">
        <v>200</v>
      </c>
      <c r="M7" s="16">
        <f t="shared" si="3"/>
        <v>46180</v>
      </c>
      <c r="N7" s="14" t="s">
        <v>9</v>
      </c>
    </row>
    <row r="8" spans="1:14" x14ac:dyDescent="0.15">
      <c r="A8" s="7" t="s">
        <v>28</v>
      </c>
      <c r="B8" s="7" t="s">
        <v>29</v>
      </c>
      <c r="C8" s="7" t="s">
        <v>30</v>
      </c>
      <c r="D8" s="7">
        <v>30</v>
      </c>
      <c r="E8" s="7">
        <v>5</v>
      </c>
      <c r="F8" s="7" t="s">
        <v>13</v>
      </c>
      <c r="H8" s="14" t="str">
        <f t="shared" si="0"/>
        <v>T-Shirt</v>
      </c>
      <c r="I8" s="14" t="str">
        <f t="shared" si="1"/>
        <v>19-JUL</v>
      </c>
      <c r="J8" s="14" t="str">
        <f t="shared" si="2"/>
        <v>UK</v>
      </c>
      <c r="K8" s="14" t="str">
        <f t="shared" si="4"/>
        <v>Adidas T-shirt</v>
      </c>
      <c r="L8" s="15">
        <v>30</v>
      </c>
      <c r="M8" s="16">
        <f t="shared" si="3"/>
        <v>46222</v>
      </c>
      <c r="N8" s="14" t="s">
        <v>13</v>
      </c>
    </row>
    <row r="9" spans="1:14" x14ac:dyDescent="0.15">
      <c r="A9" s="8" t="s">
        <v>31</v>
      </c>
      <c r="B9" s="8" t="s">
        <v>32</v>
      </c>
      <c r="C9" s="8" t="s">
        <v>33</v>
      </c>
      <c r="D9" s="8">
        <v>90</v>
      </c>
      <c r="E9" s="8">
        <v>35</v>
      </c>
      <c r="F9" s="8" t="s">
        <v>17</v>
      </c>
      <c r="H9" s="14" t="str">
        <f t="shared" si="0"/>
        <v>Blender</v>
      </c>
      <c r="I9" s="14" t="str">
        <f t="shared" si="1"/>
        <v>23-AUG</v>
      </c>
      <c r="J9" s="14" t="str">
        <f t="shared" si="2"/>
        <v>UK</v>
      </c>
      <c r="K9" s="14" t="str">
        <f t="shared" si="4"/>
        <v>Ninja Blender</v>
      </c>
      <c r="L9" s="15">
        <v>90</v>
      </c>
      <c r="M9" s="16">
        <f t="shared" si="3"/>
        <v>46257</v>
      </c>
      <c r="N9" s="14" t="s">
        <v>17</v>
      </c>
    </row>
    <row r="10" spans="1:14" x14ac:dyDescent="0.15">
      <c r="A10" s="7" t="s">
        <v>34</v>
      </c>
      <c r="B10" s="7" t="s">
        <v>35</v>
      </c>
      <c r="C10" s="7" t="s">
        <v>36</v>
      </c>
      <c r="D10" s="7">
        <v>500</v>
      </c>
      <c r="E10" s="7">
        <v>50</v>
      </c>
      <c r="F10" s="7" t="s">
        <v>9</v>
      </c>
      <c r="H10" s="14" t="str">
        <f t="shared" si="0"/>
        <v>Tablet</v>
      </c>
      <c r="I10" s="14" t="str">
        <f t="shared" si="1"/>
        <v>05-SEP</v>
      </c>
      <c r="J10" s="14" t="str">
        <f t="shared" si="2"/>
        <v>UK</v>
      </c>
      <c r="K10" s="14" t="str">
        <f t="shared" si="4"/>
        <v>Apple Tablet</v>
      </c>
      <c r="L10" s="15">
        <v>500</v>
      </c>
      <c r="M10" s="16">
        <f t="shared" si="3"/>
        <v>46270</v>
      </c>
      <c r="N10" s="14" t="s">
        <v>9</v>
      </c>
    </row>
    <row r="11" spans="1:14" x14ac:dyDescent="0.15">
      <c r="A11" s="8" t="s">
        <v>37</v>
      </c>
      <c r="B11" s="8" t="s">
        <v>38</v>
      </c>
      <c r="C11" s="8" t="s">
        <v>39</v>
      </c>
      <c r="D11" s="8">
        <v>130</v>
      </c>
      <c r="E11" s="8">
        <v>10</v>
      </c>
      <c r="F11" s="8" t="s">
        <v>24</v>
      </c>
      <c r="H11" s="14" t="str">
        <f t="shared" si="0"/>
        <v>Hiking Boots</v>
      </c>
      <c r="I11" s="14" t="str">
        <f t="shared" si="1"/>
        <v>14-OCT</v>
      </c>
      <c r="J11" s="14" t="str">
        <f t="shared" si="2"/>
        <v>UK</v>
      </c>
      <c r="K11" s="14" t="str">
        <f t="shared" si="4"/>
        <v>Timberland Hiking Boots</v>
      </c>
      <c r="L11" s="15">
        <v>130</v>
      </c>
      <c r="M11" s="16">
        <f t="shared" si="3"/>
        <v>46309</v>
      </c>
      <c r="N11" s="14" t="s">
        <v>24</v>
      </c>
    </row>
    <row r="12" spans="1:14" x14ac:dyDescent="0.15">
      <c r="A12" s="7" t="s">
        <v>40</v>
      </c>
      <c r="B12" s="7" t="s">
        <v>7</v>
      </c>
      <c r="C12" s="7" t="s">
        <v>41</v>
      </c>
      <c r="D12" s="7">
        <v>950</v>
      </c>
      <c r="E12" s="7">
        <v>25</v>
      </c>
      <c r="F12" s="7" t="s">
        <v>9</v>
      </c>
      <c r="H12" s="14" t="str">
        <f t="shared" si="0"/>
        <v>Laptop</v>
      </c>
      <c r="I12" s="14" t="str">
        <f t="shared" si="1"/>
        <v>17-JUN</v>
      </c>
      <c r="J12" s="14" t="str">
        <f t="shared" si="2"/>
        <v>IN</v>
      </c>
      <c r="K12" s="14" t="str">
        <f t="shared" si="4"/>
        <v>HP Laptop</v>
      </c>
      <c r="L12" s="15">
        <v>950</v>
      </c>
      <c r="M12" s="16">
        <f t="shared" si="3"/>
        <v>46190</v>
      </c>
      <c r="N12" s="14" t="s">
        <v>9</v>
      </c>
    </row>
    <row r="13" spans="1:14" x14ac:dyDescent="0.15">
      <c r="A13" s="8" t="s">
        <v>42</v>
      </c>
      <c r="B13" s="8" t="s">
        <v>11</v>
      </c>
      <c r="C13" s="8" t="s">
        <v>30</v>
      </c>
      <c r="D13" s="8">
        <v>90</v>
      </c>
      <c r="E13" s="8">
        <v>40</v>
      </c>
      <c r="F13" s="8" t="s">
        <v>13</v>
      </c>
      <c r="H13" s="14" t="str">
        <f t="shared" si="0"/>
        <v>Sneakers</v>
      </c>
      <c r="I13" s="14" t="str">
        <f t="shared" si="1"/>
        <v>25-NOV</v>
      </c>
      <c r="J13" s="14" t="str">
        <f t="shared" si="2"/>
        <v>AU</v>
      </c>
      <c r="K13" s="14" t="str">
        <f t="shared" si="4"/>
        <v>Adidas Sneakers</v>
      </c>
      <c r="L13" s="15">
        <v>90</v>
      </c>
      <c r="M13" s="16">
        <f t="shared" si="3"/>
        <v>46351</v>
      </c>
      <c r="N13" s="14" t="s">
        <v>13</v>
      </c>
    </row>
    <row r="14" spans="1:14" x14ac:dyDescent="0.15">
      <c r="A14" s="7" t="s">
        <v>43</v>
      </c>
      <c r="B14" s="7" t="s">
        <v>15</v>
      </c>
      <c r="C14" s="7" t="s">
        <v>44</v>
      </c>
      <c r="D14" s="7">
        <v>120</v>
      </c>
      <c r="E14" s="7">
        <v>35</v>
      </c>
      <c r="F14" s="7" t="s">
        <v>17</v>
      </c>
      <c r="H14" s="14" t="str">
        <f t="shared" si="0"/>
        <v>Coffee Maker</v>
      </c>
      <c r="I14" s="14" t="str">
        <f t="shared" si="1"/>
        <v>08-DEC</v>
      </c>
      <c r="J14" s="14" t="str">
        <f t="shared" si="2"/>
        <v>DE</v>
      </c>
      <c r="K14" s="14" t="str">
        <f t="shared" si="4"/>
        <v>Nespresso Coffee Maker</v>
      </c>
      <c r="L14" s="15">
        <v>120</v>
      </c>
      <c r="M14" s="16">
        <f t="shared" si="3"/>
        <v>46364</v>
      </c>
      <c r="N14" s="14" t="s">
        <v>17</v>
      </c>
    </row>
    <row r="15" spans="1:14" x14ac:dyDescent="0.15">
      <c r="A15" s="8" t="s">
        <v>45</v>
      </c>
      <c r="B15" s="8" t="s">
        <v>46</v>
      </c>
      <c r="C15" s="8" t="s">
        <v>47</v>
      </c>
      <c r="D15" s="8">
        <v>150</v>
      </c>
      <c r="E15" s="8">
        <v>15</v>
      </c>
      <c r="F15" s="8" t="s">
        <v>9</v>
      </c>
      <c r="H15" s="14" t="str">
        <f t="shared" si="0"/>
        <v>Smartwatch</v>
      </c>
      <c r="I15" s="14" t="str">
        <f t="shared" si="1"/>
        <v>18-FEB</v>
      </c>
      <c r="J15" s="14" t="str">
        <f t="shared" si="2"/>
        <v>CA</v>
      </c>
      <c r="K15" s="14" t="str">
        <f t="shared" si="4"/>
        <v>Fitbit Smartwatch</v>
      </c>
      <c r="L15" s="15">
        <v>150</v>
      </c>
      <c r="M15" s="16">
        <f t="shared" si="3"/>
        <v>46071</v>
      </c>
      <c r="N15" s="14" t="s">
        <v>9</v>
      </c>
    </row>
    <row r="16" spans="1:14" x14ac:dyDescent="0.15">
      <c r="A16" s="7" t="s">
        <v>48</v>
      </c>
      <c r="B16" s="7" t="s">
        <v>26</v>
      </c>
      <c r="C16" s="7" t="s">
        <v>49</v>
      </c>
      <c r="D16" s="7">
        <v>250</v>
      </c>
      <c r="E16" s="7">
        <v>20</v>
      </c>
      <c r="F16" s="7" t="s">
        <v>9</v>
      </c>
      <c r="H16" s="14" t="str">
        <f t="shared" si="0"/>
        <v>Headphones</v>
      </c>
      <c r="I16" s="14" t="str">
        <f t="shared" si="1"/>
        <v>16-APR</v>
      </c>
      <c r="J16" s="14" t="str">
        <f t="shared" si="2"/>
        <v>ES</v>
      </c>
      <c r="K16" s="14" t="str">
        <f t="shared" si="4"/>
        <v>Bose Headphones</v>
      </c>
      <c r="L16" s="15">
        <v>250</v>
      </c>
      <c r="M16" s="16">
        <f t="shared" si="3"/>
        <v>46128</v>
      </c>
      <c r="N16" s="14" t="s">
        <v>9</v>
      </c>
    </row>
    <row r="17" spans="1:14" x14ac:dyDescent="0.15">
      <c r="A17" s="8" t="s">
        <v>50</v>
      </c>
      <c r="B17" s="8" t="s">
        <v>51</v>
      </c>
      <c r="C17" s="8" t="s">
        <v>52</v>
      </c>
      <c r="D17" s="8">
        <v>50</v>
      </c>
      <c r="E17" s="8">
        <v>35</v>
      </c>
      <c r="F17" s="8" t="s">
        <v>53</v>
      </c>
      <c r="H17" s="14" t="str">
        <f t="shared" si="0"/>
        <v>Laptop Bag</v>
      </c>
      <c r="I17" s="14" t="str">
        <f t="shared" si="1"/>
        <v>21-AUG</v>
      </c>
      <c r="J17" s="14" t="str">
        <f t="shared" si="2"/>
        <v>CA</v>
      </c>
      <c r="K17" s="14" t="str">
        <f t="shared" si="4"/>
        <v>Samsonite Laptop Bag</v>
      </c>
      <c r="L17" s="15">
        <v>50</v>
      </c>
      <c r="M17" s="16">
        <f t="shared" si="3"/>
        <v>46255</v>
      </c>
      <c r="N17" s="14" t="s">
        <v>53</v>
      </c>
    </row>
    <row r="18" spans="1:14" x14ac:dyDescent="0.15">
      <c r="A18" s="7" t="s">
        <v>54</v>
      </c>
      <c r="B18" s="7" t="s">
        <v>46</v>
      </c>
      <c r="C18" s="7" t="s">
        <v>55</v>
      </c>
      <c r="D18" s="7">
        <v>160</v>
      </c>
      <c r="E18" s="7">
        <v>15</v>
      </c>
      <c r="F18" s="7" t="s">
        <v>9</v>
      </c>
      <c r="H18" s="14" t="str">
        <f t="shared" si="0"/>
        <v>Smartwatch</v>
      </c>
      <c r="I18" s="14" t="str">
        <f t="shared" si="1"/>
        <v>20-AUG</v>
      </c>
      <c r="J18" s="14" t="str">
        <f t="shared" si="2"/>
        <v>CN</v>
      </c>
      <c r="K18" s="14" t="str">
        <f t="shared" si="4"/>
        <v>Huawei Smartwatch</v>
      </c>
      <c r="L18" s="15">
        <v>160</v>
      </c>
      <c r="M18" s="16">
        <f t="shared" si="3"/>
        <v>46254</v>
      </c>
      <c r="N18" s="14" t="s">
        <v>9</v>
      </c>
    </row>
    <row r="19" spans="1:14" x14ac:dyDescent="0.15">
      <c r="A19" s="8" t="s">
        <v>56</v>
      </c>
      <c r="B19" s="8" t="s">
        <v>7</v>
      </c>
      <c r="C19" s="8" t="s">
        <v>57</v>
      </c>
      <c r="D19" s="8">
        <v>980</v>
      </c>
      <c r="E19" s="8">
        <v>10</v>
      </c>
      <c r="F19" s="8" t="s">
        <v>9</v>
      </c>
      <c r="H19" s="14" t="str">
        <f t="shared" si="0"/>
        <v>Laptop</v>
      </c>
      <c r="I19" s="14" t="str">
        <f t="shared" si="1"/>
        <v>27-JAN</v>
      </c>
      <c r="J19" s="14" t="str">
        <f t="shared" si="2"/>
        <v>IT</v>
      </c>
      <c r="K19" s="14" t="str">
        <f t="shared" si="4"/>
        <v>Asus Laptop</v>
      </c>
      <c r="L19" s="15">
        <v>980</v>
      </c>
      <c r="M19" s="16">
        <f t="shared" si="3"/>
        <v>46049</v>
      </c>
      <c r="N19" s="14" t="s">
        <v>9</v>
      </c>
    </row>
    <row r="20" spans="1:14" x14ac:dyDescent="0.15">
      <c r="A20" s="7" t="s">
        <v>58</v>
      </c>
      <c r="B20" s="7" t="s">
        <v>59</v>
      </c>
      <c r="C20" s="7" t="s">
        <v>60</v>
      </c>
      <c r="D20" s="7">
        <v>150</v>
      </c>
      <c r="E20" s="7">
        <v>15</v>
      </c>
      <c r="F20" s="7" t="s">
        <v>13</v>
      </c>
      <c r="H20" s="14" t="str">
        <f t="shared" si="0"/>
        <v>Sunglasses</v>
      </c>
      <c r="I20" s="14" t="str">
        <f t="shared" si="1"/>
        <v>01-MAR</v>
      </c>
      <c r="J20" s="14" t="str">
        <f t="shared" si="2"/>
        <v>UK</v>
      </c>
      <c r="K20" s="14" t="str">
        <f t="shared" si="4"/>
        <v>Oakley Sunglasses</v>
      </c>
      <c r="L20" s="15">
        <v>150</v>
      </c>
      <c r="M20" s="16">
        <f t="shared" si="3"/>
        <v>46082</v>
      </c>
      <c r="N20" s="14" t="s">
        <v>13</v>
      </c>
    </row>
    <row r="21" spans="1:14" x14ac:dyDescent="0.15">
      <c r="A21" s="8" t="s">
        <v>61</v>
      </c>
      <c r="B21" s="8" t="s">
        <v>62</v>
      </c>
      <c r="C21" s="8" t="s">
        <v>63</v>
      </c>
      <c r="D21" s="8">
        <v>200</v>
      </c>
      <c r="E21" s="8">
        <v>10</v>
      </c>
      <c r="F21" s="8" t="s">
        <v>24</v>
      </c>
      <c r="H21" s="14" t="str">
        <f t="shared" si="0"/>
        <v>Camping Tent</v>
      </c>
      <c r="I21" s="14" t="str">
        <f t="shared" si="1"/>
        <v>14-AUG</v>
      </c>
      <c r="J21" s="14" t="str">
        <f t="shared" si="2"/>
        <v>US</v>
      </c>
      <c r="K21" s="14" t="str">
        <f t="shared" si="4"/>
        <v>Coleman Camping Tent</v>
      </c>
      <c r="L21" s="15">
        <v>200</v>
      </c>
      <c r="M21" s="16">
        <f t="shared" si="3"/>
        <v>46248</v>
      </c>
      <c r="N21" s="14" t="s">
        <v>24</v>
      </c>
    </row>
    <row r="22" spans="1:14" x14ac:dyDescent="0.15">
      <c r="A22" s="7" t="s">
        <v>64</v>
      </c>
      <c r="B22" s="7" t="s">
        <v>65</v>
      </c>
      <c r="C22" s="7" t="s">
        <v>66</v>
      </c>
      <c r="D22" s="7">
        <v>700</v>
      </c>
      <c r="E22" s="7">
        <v>50</v>
      </c>
      <c r="F22" s="7" t="s">
        <v>9</v>
      </c>
      <c r="H22" s="14" t="str">
        <f t="shared" si="0"/>
        <v>Camera</v>
      </c>
      <c r="I22" s="14" t="str">
        <f t="shared" si="1"/>
        <v>14-MAY</v>
      </c>
      <c r="J22" s="14" t="str">
        <f t="shared" si="2"/>
        <v>RU</v>
      </c>
      <c r="K22" s="14" t="str">
        <f t="shared" si="4"/>
        <v>Nikon Camera</v>
      </c>
      <c r="L22" s="15">
        <v>700</v>
      </c>
      <c r="M22" s="16">
        <f t="shared" si="3"/>
        <v>46156</v>
      </c>
      <c r="N22" s="14" t="s">
        <v>9</v>
      </c>
    </row>
    <row r="23" spans="1:14" x14ac:dyDescent="0.15">
      <c r="A23" s="8" t="s">
        <v>67</v>
      </c>
      <c r="B23" s="8" t="s">
        <v>68</v>
      </c>
      <c r="C23" s="8" t="s">
        <v>69</v>
      </c>
      <c r="D23" s="8">
        <v>80</v>
      </c>
      <c r="E23" s="8">
        <v>20</v>
      </c>
      <c r="F23" s="8" t="s">
        <v>17</v>
      </c>
      <c r="H23" s="14" t="str">
        <f t="shared" si="0"/>
        <v>Microwave</v>
      </c>
      <c r="I23" s="14" t="str">
        <f t="shared" si="1"/>
        <v>09-JAN</v>
      </c>
      <c r="J23" s="14" t="str">
        <f t="shared" si="2"/>
        <v>CA</v>
      </c>
      <c r="K23" s="14" t="str">
        <f t="shared" si="4"/>
        <v>Panasonic Microwave</v>
      </c>
      <c r="L23" s="15">
        <v>80</v>
      </c>
      <c r="M23" s="16">
        <f t="shared" si="3"/>
        <v>46031</v>
      </c>
      <c r="N23" s="14" t="s">
        <v>17</v>
      </c>
    </row>
    <row r="24" spans="1:14" x14ac:dyDescent="0.15">
      <c r="A24" s="7" t="s">
        <v>70</v>
      </c>
      <c r="B24" s="7" t="s">
        <v>71</v>
      </c>
      <c r="C24" s="7" t="s">
        <v>72</v>
      </c>
      <c r="D24" s="7">
        <v>150</v>
      </c>
      <c r="E24" s="7">
        <v>30</v>
      </c>
      <c r="F24" s="7" t="s">
        <v>9</v>
      </c>
      <c r="H24" s="14" t="str">
        <f t="shared" si="0"/>
        <v>Fitness Tracker</v>
      </c>
      <c r="I24" s="14" t="str">
        <f t="shared" si="1"/>
        <v>19-JUL</v>
      </c>
      <c r="J24" s="14" t="str">
        <f t="shared" si="2"/>
        <v>BR</v>
      </c>
      <c r="K24" s="14" t="str">
        <f t="shared" si="4"/>
        <v>Xiaomi Fitness Tracker</v>
      </c>
      <c r="L24" s="15">
        <v>150</v>
      </c>
      <c r="M24" s="16">
        <f t="shared" si="3"/>
        <v>46222</v>
      </c>
      <c r="N24" s="14" t="s">
        <v>9</v>
      </c>
    </row>
    <row r="25" spans="1:14" x14ac:dyDescent="0.15">
      <c r="A25" s="7" t="s">
        <v>73</v>
      </c>
      <c r="B25" s="7" t="s">
        <v>19</v>
      </c>
      <c r="C25" s="7" t="s">
        <v>74</v>
      </c>
      <c r="D25" s="7">
        <v>800</v>
      </c>
      <c r="E25" s="7">
        <v>45</v>
      </c>
      <c r="F25" s="7" t="s">
        <v>9</v>
      </c>
      <c r="H25" s="14" t="str">
        <f t="shared" si="0"/>
        <v>Smartphone</v>
      </c>
      <c r="I25" s="14" t="str">
        <f t="shared" si="1"/>
        <v>29-SEP</v>
      </c>
      <c r="J25" s="14" t="str">
        <f t="shared" si="2"/>
        <v>CA</v>
      </c>
      <c r="K25" s="14" t="str">
        <f t="shared" si="4"/>
        <v>Google Smartphone</v>
      </c>
      <c r="L25" s="15">
        <v>800</v>
      </c>
      <c r="M25" s="16">
        <f t="shared" si="3"/>
        <v>46294</v>
      </c>
      <c r="N25" s="14" t="s">
        <v>9</v>
      </c>
    </row>
    <row r="26" spans="1:14" x14ac:dyDescent="0.15">
      <c r="A26" s="8" t="s">
        <v>75</v>
      </c>
      <c r="B26" s="8" t="s">
        <v>59</v>
      </c>
      <c r="C26" s="8" t="s">
        <v>76</v>
      </c>
      <c r="D26" s="8">
        <v>130</v>
      </c>
      <c r="E26" s="8">
        <v>25</v>
      </c>
      <c r="F26" s="8" t="s">
        <v>13</v>
      </c>
      <c r="H26" s="14" t="str">
        <f t="shared" si="0"/>
        <v>Sunglasses</v>
      </c>
      <c r="I26" s="14" t="str">
        <f t="shared" si="1"/>
        <v>03-JUN</v>
      </c>
      <c r="J26" s="14" t="str">
        <f t="shared" si="2"/>
        <v>CA</v>
      </c>
      <c r="K26" s="14" t="str">
        <f t="shared" si="4"/>
        <v>Ray-Ban Sunglasses</v>
      </c>
      <c r="L26" s="15">
        <v>130</v>
      </c>
      <c r="M26" s="16">
        <f t="shared" si="3"/>
        <v>46176</v>
      </c>
      <c r="N26" s="14" t="s">
        <v>13</v>
      </c>
    </row>
    <row r="27" spans="1:14" x14ac:dyDescent="0.15">
      <c r="A27" s="7" t="s">
        <v>77</v>
      </c>
      <c r="B27" s="7" t="s">
        <v>32</v>
      </c>
      <c r="C27" s="7" t="s">
        <v>78</v>
      </c>
      <c r="D27" s="7">
        <v>400</v>
      </c>
      <c r="E27" s="7">
        <v>40</v>
      </c>
      <c r="F27" s="7" t="s">
        <v>17</v>
      </c>
      <c r="H27" s="14" t="str">
        <f t="shared" si="0"/>
        <v>Blender</v>
      </c>
      <c r="I27" s="14" t="str">
        <f t="shared" si="1"/>
        <v>11-JUL</v>
      </c>
      <c r="J27" s="14" t="str">
        <f t="shared" si="2"/>
        <v>CA</v>
      </c>
      <c r="K27" s="14" t="str">
        <f t="shared" si="4"/>
        <v>Vitamix Blender</v>
      </c>
      <c r="L27" s="15">
        <v>400</v>
      </c>
      <c r="M27" s="16">
        <f t="shared" si="3"/>
        <v>46214</v>
      </c>
      <c r="N27" s="14" t="s">
        <v>17</v>
      </c>
    </row>
    <row r="28" spans="1:14" x14ac:dyDescent="0.15">
      <c r="A28" s="8" t="s">
        <v>48</v>
      </c>
      <c r="B28" s="8" t="s">
        <v>26</v>
      </c>
      <c r="C28" s="8" t="s">
        <v>49</v>
      </c>
      <c r="D28" s="8">
        <v>230</v>
      </c>
      <c r="E28" s="8">
        <v>20</v>
      </c>
      <c r="F28" s="8" t="s">
        <v>9</v>
      </c>
      <c r="H28" s="14" t="str">
        <f t="shared" si="0"/>
        <v>Headphones</v>
      </c>
      <c r="I28" s="14" t="str">
        <f t="shared" si="1"/>
        <v>16-APR</v>
      </c>
      <c r="J28" s="14" t="str">
        <f t="shared" si="2"/>
        <v>ES</v>
      </c>
      <c r="K28" s="14" t="str">
        <f t="shared" si="4"/>
        <v>Bose Headphones</v>
      </c>
      <c r="L28" s="15">
        <v>230</v>
      </c>
      <c r="M28" s="16">
        <f t="shared" si="3"/>
        <v>46128</v>
      </c>
      <c r="N28" s="14" t="s">
        <v>9</v>
      </c>
    </row>
    <row r="29" spans="1:14" x14ac:dyDescent="0.15">
      <c r="A29" s="7" t="s">
        <v>79</v>
      </c>
      <c r="B29" s="7" t="s">
        <v>80</v>
      </c>
      <c r="C29" s="7" t="s">
        <v>81</v>
      </c>
      <c r="D29" s="7">
        <v>60</v>
      </c>
      <c r="E29" s="7">
        <v>30</v>
      </c>
      <c r="F29" s="7" t="s">
        <v>13</v>
      </c>
      <c r="H29" s="14" t="str">
        <f t="shared" si="0"/>
        <v>Dress</v>
      </c>
      <c r="I29" s="14" t="str">
        <f t="shared" si="1"/>
        <v>07-MAR</v>
      </c>
      <c r="J29" s="14" t="str">
        <f t="shared" si="2"/>
        <v>CA</v>
      </c>
      <c r="K29" s="14" t="str">
        <f t="shared" si="4"/>
        <v>Zara Dress</v>
      </c>
      <c r="L29" s="15">
        <v>60</v>
      </c>
      <c r="M29" s="16">
        <f t="shared" si="3"/>
        <v>46088</v>
      </c>
      <c r="N29" s="14" t="s">
        <v>13</v>
      </c>
    </row>
    <row r="30" spans="1:14" x14ac:dyDescent="0.15">
      <c r="A30" s="8" t="s">
        <v>82</v>
      </c>
      <c r="B30" s="8" t="s">
        <v>83</v>
      </c>
      <c r="C30" s="8" t="s">
        <v>84</v>
      </c>
      <c r="D30" s="8">
        <v>40</v>
      </c>
      <c r="E30" s="8">
        <v>10</v>
      </c>
      <c r="F30" s="8" t="s">
        <v>17</v>
      </c>
      <c r="H30" s="14" t="str">
        <f t="shared" si="0"/>
        <v>Toaster</v>
      </c>
      <c r="I30" s="14" t="str">
        <f t="shared" si="1"/>
        <v>13-APR</v>
      </c>
      <c r="J30" s="14" t="str">
        <f t="shared" si="2"/>
        <v>CA</v>
      </c>
      <c r="K30" s="14" t="str">
        <f t="shared" si="4"/>
        <v>Hamilton Toaster</v>
      </c>
      <c r="L30" s="15">
        <v>40</v>
      </c>
      <c r="M30" s="16">
        <f t="shared" si="3"/>
        <v>46125</v>
      </c>
      <c r="N30" s="14" t="s">
        <v>17</v>
      </c>
    </row>
    <row r="31" spans="1:14" x14ac:dyDescent="0.15">
      <c r="A31" s="7" t="s">
        <v>85</v>
      </c>
      <c r="B31" s="7" t="s">
        <v>71</v>
      </c>
      <c r="C31" s="7" t="s">
        <v>86</v>
      </c>
      <c r="D31" s="7">
        <v>130</v>
      </c>
      <c r="E31" s="7">
        <v>5</v>
      </c>
      <c r="F31" s="7" t="s">
        <v>9</v>
      </c>
      <c r="H31" s="14" t="str">
        <f t="shared" si="0"/>
        <v>Fitness Tracker</v>
      </c>
      <c r="I31" s="14" t="str">
        <f t="shared" si="1"/>
        <v>24-MAY</v>
      </c>
      <c r="J31" s="14" t="str">
        <f t="shared" si="2"/>
        <v>CA</v>
      </c>
      <c r="K31" s="14" t="str">
        <f t="shared" si="4"/>
        <v>Garmin Fitness Tracker</v>
      </c>
      <c r="L31" s="15">
        <v>130</v>
      </c>
      <c r="M31" s="16">
        <f t="shared" si="3"/>
        <v>46166</v>
      </c>
      <c r="N31" s="14" t="s">
        <v>9</v>
      </c>
    </row>
    <row r="32" spans="1:14" x14ac:dyDescent="0.15">
      <c r="A32" s="8" t="s">
        <v>87</v>
      </c>
      <c r="B32" s="8" t="s">
        <v>88</v>
      </c>
      <c r="C32" s="8" t="s">
        <v>89</v>
      </c>
      <c r="D32" s="8">
        <v>50</v>
      </c>
      <c r="E32" s="8">
        <v>50</v>
      </c>
      <c r="F32" s="8" t="s">
        <v>13</v>
      </c>
      <c r="H32" s="14" t="str">
        <f t="shared" si="0"/>
        <v>Jeans</v>
      </c>
      <c r="I32" s="14" t="str">
        <f t="shared" si="1"/>
        <v>02-DEC</v>
      </c>
      <c r="J32" s="14" t="str">
        <f t="shared" si="2"/>
        <v>CA</v>
      </c>
      <c r="K32" s="14" t="str">
        <f t="shared" si="4"/>
        <v>Levi's Jeans</v>
      </c>
      <c r="L32" s="15">
        <v>50</v>
      </c>
      <c r="M32" s="16">
        <f t="shared" si="3"/>
        <v>46358</v>
      </c>
      <c r="N32" s="14" t="s">
        <v>13</v>
      </c>
    </row>
    <row r="33" spans="1:14" x14ac:dyDescent="0.15">
      <c r="A33" s="8" t="s">
        <v>90</v>
      </c>
      <c r="B33" s="8" t="s">
        <v>91</v>
      </c>
      <c r="C33" s="8" t="s">
        <v>92</v>
      </c>
      <c r="D33" s="8">
        <v>100</v>
      </c>
      <c r="E33" s="8">
        <v>20</v>
      </c>
      <c r="F33" s="8" t="s">
        <v>53</v>
      </c>
      <c r="H33" s="14" t="str">
        <f t="shared" si="0"/>
        <v>Watch</v>
      </c>
      <c r="I33" s="14" t="str">
        <f t="shared" si="1"/>
        <v>09-JUL</v>
      </c>
      <c r="J33" s="14" t="str">
        <f t="shared" si="2"/>
        <v>FR</v>
      </c>
      <c r="K33" s="14" t="str">
        <f t="shared" si="4"/>
        <v>Casio Watch</v>
      </c>
      <c r="L33" s="15">
        <v>100</v>
      </c>
      <c r="M33" s="16">
        <f t="shared" si="3"/>
        <v>46212</v>
      </c>
      <c r="N33" s="14" t="s">
        <v>53</v>
      </c>
    </row>
  </sheetData>
  <conditionalFormatting sqref="L1:L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{8F29C842-C45B-4087-88B6-9C76D5CFB433}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{768FDD0B-2169-4948-9B63-3FF04C540D81}</x14:id>
        </ext>
      </extLst>
    </cfRule>
  </conditionalFormatting>
  <conditionalFormatting sqref="N1:N1048576">
    <cfRule type="containsText" dxfId="0" priority="1" operator="containsText" text="Electronics">
      <formula>NOT(ISERROR(SEARCH("Electronics",N1)))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29C842-C45B-4087-88B6-9C76D5CFB4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68FDD0B-2169-4948-9B63-3FF04C540D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Work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2026-05-06T18:44:28Z</dcterms:created>
  <dcterms:modified xsi:type="dcterms:W3CDTF">2026-05-07T04:53:01Z</dcterms:modified>
  <cp:category/>
  <cp:contentStatus/>
</cp:coreProperties>
</file>